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outx-my.sharepoint.com/personal/tho_le_houstontx_gov/Documents/Station Cadet Training/Cadet Training - Shared/INSTRUCTOR LIBRARY/Rosters/"/>
    </mc:Choice>
  </mc:AlternateContent>
  <xr:revisionPtr revIDLastSave="2602" documentId="13_ncr:1_{8B94EC18-B0E2-4262-811F-49A665A39D65}" xr6:coauthVersionLast="47" xr6:coauthVersionMax="47" xr10:uidLastSave="{59783BDE-D281-448D-A848-78FC6032DEC5}"/>
  <bookViews>
    <workbookView xWindow="-16320" yWindow="-12945" windowWidth="16440" windowHeight="29040" tabRatio="842" activeTab="6" xr2:uid="{00000000-000D-0000-FFFF-FFFF00000000}"/>
  </bookViews>
  <sheets>
    <sheet name="2026 D" sheetId="21" r:id="rId1"/>
    <sheet name="2026 G" sheetId="28" r:id="rId2"/>
    <sheet name="2026 I" sheetId="30" r:id="rId3"/>
    <sheet name="2026 H" sheetId="29" r:id="rId4"/>
    <sheet name="2026 J" sheetId="31" r:id="rId5"/>
    <sheet name="Status" sheetId="7" r:id="rId6"/>
    <sheet name="Resigned" sheetId="23" r:id="rId7"/>
    <sheet name="DATA" sheetId="19" state="hidden" r:id="rId8"/>
    <sheet name="Blank" sheetId="22" state="hidden" r:id="rId9"/>
  </sheets>
  <externalReferences>
    <externalReference r:id="rId10"/>
  </externalReferences>
  <definedNames>
    <definedName name="_xleta.COUNT" hidden="1" xlm="1">#NAME?</definedName>
    <definedName name="_xleta.COUNTA" hidden="1" xlm="1">#NAME?</definedName>
    <definedName name="_xleta.IF" hidden="1" xlm="1">#NAME?</definedName>
    <definedName name="ExternalData_1" localSheetId="7" hidden="1">DATA!$A$2:$G$80</definedName>
    <definedName name="ExternalData_3" localSheetId="7" hidden="1">DATA!$I$2:$O$35</definedName>
    <definedName name="ExternalData_4" localSheetId="7" hidden="1">DATA!$Q$2:$W$27</definedName>
    <definedName name="ExternalData_5" localSheetId="7" hidden="1">DATA!$Y$2:$AF$71</definedName>
    <definedName name="ExternalData_6" localSheetId="7" hidden="1">DATA!$AH$2:$AN$19</definedName>
    <definedName name="ExternalData_7" localSheetId="7" hidden="1">DATA!$AP$2:$AV$30</definedName>
    <definedName name="_xlnm.Print_Area" localSheetId="0">'2026 D'!$C$2:$M$48</definedName>
    <definedName name="_xlnm.Print_Area" localSheetId="1">'2026 G'!$C$2:$M$48</definedName>
    <definedName name="_xlnm.Print_Area" localSheetId="3">'2026 H'!$C$2:$M$48</definedName>
    <definedName name="_xlnm.Print_Area" localSheetId="2">'2026 I'!$C$2:$M$48</definedName>
    <definedName name="_xlnm.Print_Area" localSheetId="4">'2026 J'!$C$2:$M$48</definedName>
    <definedName name="_xlnm.Print_Area" localSheetId="8">Blank!$C$2:$M$48</definedName>
    <definedName name="Resigned">_xlfn._TRO_ALL([1]Resigned!$A$1:$S$50)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1" l="1" a="1"/>
  <c r="C6" i="31" s="1"/>
  <c r="M48" i="31" s="1"/>
  <c r="C6" i="30" a="1"/>
  <c r="C6" i="30" s="1"/>
  <c r="M48" i="30" s="1"/>
  <c r="C5" i="7" s="1"/>
  <c r="E1" i="31" l="1"/>
  <c r="C6" i="7"/>
  <c r="E1" i="30"/>
  <c r="C30" i="28" a="1"/>
  <c r="C30" i="28" s="1"/>
  <c r="C6" i="28" a="1"/>
  <c r="C6" i="28" s="1"/>
  <c r="I6" i="29" l="1" a="1"/>
  <c r="I6" i="29" s="1"/>
  <c r="C6" i="29" a="1"/>
  <c r="C6" i="29" s="1"/>
  <c r="M48" i="28"/>
  <c r="E1" i="28" s="1"/>
  <c r="M48" i="29" l="1"/>
  <c r="C4" i="7"/>
  <c r="C3" i="7"/>
  <c r="E1" i="29" l="1"/>
  <c r="M48" i="22"/>
  <c r="E1" i="22" s="1"/>
  <c r="I6" i="21" a="1"/>
  <c r="I6" i="21" s="1"/>
  <c r="C6" i="21" a="1"/>
  <c r="C6" i="21" s="1"/>
  <c r="M48" i="21" l="1"/>
  <c r="C2" i="7" s="1"/>
  <c r="C8" i="7" s="1"/>
  <c r="E1" i="21" l="1"/>
  <c r="A2" i="23" l="1" a="1"/>
  <c r="A2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3642C7-CEDA-4249-91AF-E2FD827B7309}" keepAlive="1" name="Query - 2026D" description="Connection to the '2026D' query in the workbook." type="5" refreshedVersion="8" background="1" refreshOnLoad="1" saveData="1">
    <dbPr connection="Provider=Microsoft.Mashup.OleDb.1;Data Source=$Workbook$;Location=2026D;Extended Properties=&quot;&quot;" command="SELECT * FROM [2026D]"/>
  </connection>
  <connection id="2" xr16:uid="{A7B9E049-F016-41FE-84F5-77DA61F5A0AF}" keepAlive="1" name="Query - 2026F" description="Connection to the '2026F' query in the workbook." type="5" refreshedVersion="8" background="1" refreshOnLoad="1" saveData="1">
    <dbPr connection="Provider=Microsoft.Mashup.OleDb.1;Data Source=$Workbook$;Location=2026F;Extended Properties=&quot;&quot;" command="SELECT * FROM [2026F]"/>
  </connection>
  <connection id="3" xr16:uid="{319D51C1-0632-4B6D-B71A-73AA66433ADC}" keepAlive="1" name="Query - 2026G" description="Connection to the '2026G' query in the workbook." type="5" refreshedVersion="8" background="1" refreshOnLoad="1" saveData="1">
    <dbPr connection="Provider=Microsoft.Mashup.OleDb.1;Data Source=$Workbook$;Location=2026G;Extended Properties=&quot;&quot;" command="SELECT * FROM [2026G]"/>
  </connection>
  <connection id="4" xr16:uid="{2891B7CB-9FA2-4155-AD56-46C4532091C8}" keepAlive="1" name="Query - 2026H" description="Connection to the '2026H' query in the workbook." type="5" refreshedVersion="8" background="1" refreshOnLoad="1" saveData="1">
    <dbPr connection="Provider=Microsoft.Mashup.OleDb.1;Data Source=$Workbook$;Location=2026H;Extended Properties=&quot;&quot;" command="SELECT * FROM [2026H]"/>
  </connection>
  <connection id="5" xr16:uid="{E5EC031F-364E-4103-946F-3BCFE9505220}" keepAlive="1" name="Query - 2026I" description="Connection to the '2026I' query in the workbook." type="5" refreshedVersion="8" background="1" saveData="1">
    <dbPr connection="Provider=Microsoft.Mashup.OleDb.1;Data Source=$Workbook$;Location=2026I;Extended Properties=&quot;&quot;" command="SELECT * FROM [2026I]"/>
  </connection>
  <connection id="6" xr16:uid="{6A1C531B-F686-4469-AADE-83AD4545C746}" keepAlive="1" name="Query - 2026J" description="Connection to the '2026J' query in the workbook." type="5" refreshedVersion="8" background="1" saveData="1">
    <dbPr connection="Provider=Microsoft.Mashup.OleDb.1;Data Source=$Workbook$;Location=2026J;Extended Properties=&quot;&quot;" command="SELECT * FROM [2026J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<sst xmlns="http://schemas.openxmlformats.org/spreadsheetml/2006/main" count="875" uniqueCount="659">
  <si>
    <t>Last Name</t>
  </si>
  <si>
    <t>First Name</t>
  </si>
  <si>
    <t>Payroll #</t>
  </si>
  <si>
    <t>Rafael</t>
  </si>
  <si>
    <t>*</t>
  </si>
  <si>
    <t>Ryan</t>
  </si>
  <si>
    <t>Joshua</t>
  </si>
  <si>
    <t xml:space="preserve">Cantu 
</t>
  </si>
  <si>
    <t>Michael</t>
  </si>
  <si>
    <t>Eduardo</t>
  </si>
  <si>
    <t>Jonathan</t>
  </si>
  <si>
    <t>Evan</t>
  </si>
  <si>
    <t>Luke</t>
  </si>
  <si>
    <t xml:space="preserve">Rodriguez 
</t>
  </si>
  <si>
    <t>Miguel</t>
  </si>
  <si>
    <t xml:space="preserve">Garcia 
</t>
  </si>
  <si>
    <t xml:space="preserve">Sanchez 
</t>
  </si>
  <si>
    <t>Charles</t>
  </si>
  <si>
    <t xml:space="preserve">Hernandez 
</t>
  </si>
  <si>
    <t>Jose</t>
  </si>
  <si>
    <t>Cameron</t>
  </si>
  <si>
    <t xml:space="preserve">Johnson 
</t>
  </si>
  <si>
    <t>Nicholas</t>
  </si>
  <si>
    <t xml:space="preserve">Tran 
</t>
  </si>
  <si>
    <t>Justin</t>
  </si>
  <si>
    <t>Sebastian</t>
  </si>
  <si>
    <t>Fernando</t>
  </si>
  <si>
    <t>Joseph</t>
  </si>
  <si>
    <t>Tyler</t>
  </si>
  <si>
    <t>Antonio</t>
  </si>
  <si>
    <t>Juan</t>
  </si>
  <si>
    <t xml:space="preserve">Ortiz 
</t>
  </si>
  <si>
    <t>Daniel</t>
  </si>
  <si>
    <t>Adrian</t>
  </si>
  <si>
    <t>Angel</t>
  </si>
  <si>
    <t xml:space="preserve">Ramos 
</t>
  </si>
  <si>
    <t xml:space="preserve">Castillo 
</t>
  </si>
  <si>
    <t xml:space="preserve">Coleman 
</t>
  </si>
  <si>
    <t>Xavier</t>
  </si>
  <si>
    <t>Thomas</t>
  </si>
  <si>
    <t xml:space="preserve">Smith 
</t>
  </si>
  <si>
    <t>Saul</t>
  </si>
  <si>
    <t xml:space="preserve">Gomez 
</t>
  </si>
  <si>
    <t>Christopher</t>
  </si>
  <si>
    <t xml:space="preserve">Jones 
</t>
  </si>
  <si>
    <t>Jason</t>
  </si>
  <si>
    <t>William</t>
  </si>
  <si>
    <t>Jacob</t>
  </si>
  <si>
    <t>Christian</t>
  </si>
  <si>
    <t>James</t>
  </si>
  <si>
    <t>Eric</t>
  </si>
  <si>
    <t>Isaac</t>
  </si>
  <si>
    <t>Devin</t>
  </si>
  <si>
    <t>Kyle</t>
  </si>
  <si>
    <t>Caleb</t>
  </si>
  <si>
    <t>Julian</t>
  </si>
  <si>
    <t>No.</t>
  </si>
  <si>
    <t>PR#</t>
  </si>
  <si>
    <t>Alexis</t>
  </si>
  <si>
    <t>Daniels/Rodriguez</t>
  </si>
  <si>
    <t>Total:</t>
  </si>
  <si>
    <t>EMT Cert</t>
  </si>
  <si>
    <t>LastName</t>
  </si>
  <si>
    <t>FirstName</t>
  </si>
  <si>
    <t>PH#</t>
  </si>
  <si>
    <t>COMMENTS</t>
  </si>
  <si>
    <t xml:space="preserve">Acosta 
</t>
  </si>
  <si>
    <t xml:space="preserve">Adams 
</t>
  </si>
  <si>
    <t xml:space="preserve">Adkins 
</t>
  </si>
  <si>
    <t xml:space="preserve">Allen 
</t>
  </si>
  <si>
    <t xml:space="preserve">Arceneaux 
</t>
  </si>
  <si>
    <t xml:space="preserve">Arzac 
</t>
  </si>
  <si>
    <t xml:space="preserve">Avila 
</t>
  </si>
  <si>
    <t xml:space="preserve">Avitia 
</t>
  </si>
  <si>
    <t xml:space="preserve">Battenfield 
</t>
  </si>
  <si>
    <t xml:space="preserve">Blanton 
</t>
  </si>
  <si>
    <t xml:space="preserve">Branch 
</t>
  </si>
  <si>
    <t xml:space="preserve">Braunersreuther 
</t>
  </si>
  <si>
    <t xml:space="preserve">Brown 
</t>
  </si>
  <si>
    <t xml:space="preserve">Chavez 
</t>
  </si>
  <si>
    <t xml:space="preserve">Cochran 
</t>
  </si>
  <si>
    <t xml:space="preserve">Colon 
</t>
  </si>
  <si>
    <t xml:space="preserve">Creer 
</t>
  </si>
  <si>
    <t xml:space="preserve">Curtis 
</t>
  </si>
  <si>
    <t xml:space="preserve">Dodds 
</t>
  </si>
  <si>
    <t xml:space="preserve">Dominguez 
</t>
  </si>
  <si>
    <t xml:space="preserve">Edwards 
</t>
  </si>
  <si>
    <t xml:space="preserve">Elliott 
</t>
  </si>
  <si>
    <t xml:space="preserve">Espinoza 
</t>
  </si>
  <si>
    <t xml:space="preserve">Evans 
</t>
  </si>
  <si>
    <t xml:space="preserve">Fabiyi 
</t>
  </si>
  <si>
    <t xml:space="preserve">Foreman 
</t>
  </si>
  <si>
    <t xml:space="preserve">Gibbs 
</t>
  </si>
  <si>
    <t xml:space="preserve">Harper 
</t>
  </si>
  <si>
    <t xml:space="preserve">Heefner 
</t>
  </si>
  <si>
    <t xml:space="preserve">Hilliard 
</t>
  </si>
  <si>
    <t xml:space="preserve">Hubbard 
</t>
  </si>
  <si>
    <t xml:space="preserve">Jean-Bart 
</t>
  </si>
  <si>
    <t xml:space="preserve">Jordan 
</t>
  </si>
  <si>
    <t xml:space="preserve">Macias 
</t>
  </si>
  <si>
    <t xml:space="preserve">Mares 
</t>
  </si>
  <si>
    <t xml:space="preserve">Marks 
</t>
  </si>
  <si>
    <t xml:space="preserve">McDonald 
</t>
  </si>
  <si>
    <t xml:space="preserve">Mckenzie 
</t>
  </si>
  <si>
    <t xml:space="preserve">Menefee 
</t>
  </si>
  <si>
    <t xml:space="preserve">Meraz 
</t>
  </si>
  <si>
    <t xml:space="preserve">Morrow 
</t>
  </si>
  <si>
    <t xml:space="preserve">Muro 
</t>
  </si>
  <si>
    <t xml:space="preserve">Ochoa 
</t>
  </si>
  <si>
    <t xml:space="preserve">Overbey 
</t>
  </si>
  <si>
    <t xml:space="preserve">Owens-Clemons 
</t>
  </si>
  <si>
    <t xml:space="preserve">Patino 
</t>
  </si>
  <si>
    <t xml:space="preserve">Payton 
</t>
  </si>
  <si>
    <t xml:space="preserve">Perez 
</t>
  </si>
  <si>
    <t xml:space="preserve">Perine 
</t>
  </si>
  <si>
    <t xml:space="preserve">Peters 
</t>
  </si>
  <si>
    <t xml:space="preserve">Robbins 
</t>
  </si>
  <si>
    <t xml:space="preserve">Rocha 
</t>
  </si>
  <si>
    <t xml:space="preserve">Rorie 
</t>
  </si>
  <si>
    <t xml:space="preserve">Rosales 
</t>
  </si>
  <si>
    <t xml:space="preserve">Rugley 
</t>
  </si>
  <si>
    <t xml:space="preserve">Santana 
</t>
  </si>
  <si>
    <t xml:space="preserve">Spears 
</t>
  </si>
  <si>
    <t xml:space="preserve">Tapp 
</t>
  </si>
  <si>
    <t xml:space="preserve">Thomas 
</t>
  </si>
  <si>
    <t xml:space="preserve">Vasquez 
</t>
  </si>
  <si>
    <t xml:space="preserve">Velasquez 
</t>
  </si>
  <si>
    <t xml:space="preserve">Wallace 
</t>
  </si>
  <si>
    <t xml:space="preserve">2026 D </t>
  </si>
  <si>
    <t>2026 D</t>
  </si>
  <si>
    <t>Maximiliano</t>
  </si>
  <si>
    <t>Seth</t>
  </si>
  <si>
    <t>Floyd</t>
  </si>
  <si>
    <t>Hugo</t>
  </si>
  <si>
    <t>Sam</t>
  </si>
  <si>
    <t>Maeamour</t>
  </si>
  <si>
    <t>John</t>
  </si>
  <si>
    <t>Andrew</t>
  </si>
  <si>
    <t>Ezra</t>
  </si>
  <si>
    <t>Jhacobe</t>
  </si>
  <si>
    <t>Kevin</t>
  </si>
  <si>
    <t>Jeremy</t>
  </si>
  <si>
    <t>King</t>
  </si>
  <si>
    <t>Rashad</t>
  </si>
  <si>
    <t>Jorge</t>
  </si>
  <si>
    <t>Garret</t>
  </si>
  <si>
    <t>Kenyard</t>
  </si>
  <si>
    <t>Seven</t>
  </si>
  <si>
    <t>Elijah</t>
  </si>
  <si>
    <t>Ethan</t>
  </si>
  <si>
    <t>Rochuad</t>
  </si>
  <si>
    <t>Isaii</t>
  </si>
  <si>
    <t>Lukas</t>
  </si>
  <si>
    <t>Jayston</t>
  </si>
  <si>
    <t>Erique</t>
  </si>
  <si>
    <t>Nevaeh</t>
  </si>
  <si>
    <t>Caiel</t>
  </si>
  <si>
    <t>La'andre</t>
  </si>
  <si>
    <t>Dorian</t>
  </si>
  <si>
    <t>Jahreese</t>
  </si>
  <si>
    <t>Dominic</t>
  </si>
  <si>
    <t>Tevin</t>
  </si>
  <si>
    <t>Jhordan</t>
  </si>
  <si>
    <t>Jesse</t>
  </si>
  <si>
    <t>Jillian</t>
  </si>
  <si>
    <t>Phillip</t>
  </si>
  <si>
    <t>Gabriel</t>
  </si>
  <si>
    <t>Zachary</t>
  </si>
  <si>
    <t>Yesenia</t>
  </si>
  <si>
    <t>Coby</t>
  </si>
  <si>
    <t>Abel</t>
  </si>
  <si>
    <t>Malik</t>
  </si>
  <si>
    <t>Axel</t>
  </si>
  <si>
    <t>Jacorey</t>
  </si>
  <si>
    <t>Vu</t>
  </si>
  <si>
    <t>Jahiem</t>
  </si>
  <si>
    <t xml:space="preserve">(346) 532-6514
</t>
  </si>
  <si>
    <t xml:space="preserve">(832) 379-8625
</t>
  </si>
  <si>
    <t xml:space="preserve">(719) 722-6473
</t>
  </si>
  <si>
    <t xml:space="preserve">(832) 788-0926
</t>
  </si>
  <si>
    <t xml:space="preserve">(713) 459-2740
</t>
  </si>
  <si>
    <t xml:space="preserve">(832) 586-1484
</t>
  </si>
  <si>
    <t xml:space="preserve">(832) 849-9981
</t>
  </si>
  <si>
    <t xml:space="preserve">(346) 777-2978
</t>
  </si>
  <si>
    <t xml:space="preserve">(281) 896-9159
</t>
  </si>
  <si>
    <t xml:space="preserve">(817) 939-3685
</t>
  </si>
  <si>
    <t xml:space="preserve">(832) 898-9403
</t>
  </si>
  <si>
    <t xml:space="preserve">(281) 451-2669
</t>
  </si>
  <si>
    <t xml:space="preserve">(346) 528-5781
</t>
  </si>
  <si>
    <t xml:space="preserve">(314) 591-5688
</t>
  </si>
  <si>
    <t xml:space="preserve">(832) 461-9685
</t>
  </si>
  <si>
    <t xml:space="preserve">(832) 248-8639
</t>
  </si>
  <si>
    <t xml:space="preserve">(336) 676-2354
</t>
  </si>
  <si>
    <t xml:space="preserve">(817) 805-0199
</t>
  </si>
  <si>
    <t xml:space="preserve">(657) 749-5315
</t>
  </si>
  <si>
    <t xml:space="preserve">(832) 244-3855
</t>
  </si>
  <si>
    <t xml:space="preserve">(216) 632-2126
</t>
  </si>
  <si>
    <t xml:space="preserve">(832) 266-4789
</t>
  </si>
  <si>
    <t xml:space="preserve">(281) 840-1877
</t>
  </si>
  <si>
    <t xml:space="preserve">(832) 228-8555
</t>
  </si>
  <si>
    <t xml:space="preserve">(713) 408-1120
</t>
  </si>
  <si>
    <t xml:space="preserve">(442) 294-9691
</t>
  </si>
  <si>
    <t xml:space="preserve">(832) 208-5296
</t>
  </si>
  <si>
    <t xml:space="preserve">(323) 847-4755
</t>
  </si>
  <si>
    <t xml:space="preserve">(361) 945-8468
</t>
  </si>
  <si>
    <t xml:space="preserve">(346) 775-5862
</t>
  </si>
  <si>
    <t xml:space="preserve">(832) 972-5125
</t>
  </si>
  <si>
    <t xml:space="preserve">(281) 889-3542
</t>
  </si>
  <si>
    <t xml:space="preserve">(832) 638-7918
</t>
  </si>
  <si>
    <t xml:space="preserve">(832) 656-3176
</t>
  </si>
  <si>
    <t xml:space="preserve">(281) 608-3049
</t>
  </si>
  <si>
    <t xml:space="preserve">(832) 922-1026
</t>
  </si>
  <si>
    <t xml:space="preserve">(346) 455-0385
</t>
  </si>
  <si>
    <t xml:space="preserve">(850) 372-7804
</t>
  </si>
  <si>
    <t xml:space="preserve">(917) 374-4202
</t>
  </si>
  <si>
    <t xml:space="preserve">(346) 218-9998
</t>
  </si>
  <si>
    <t xml:space="preserve">(832) 974-5970
</t>
  </si>
  <si>
    <t xml:space="preserve">(832) 670-9440
</t>
  </si>
  <si>
    <t xml:space="preserve">(321) 831-0232
</t>
  </si>
  <si>
    <t xml:space="preserve">(832) 425-3121
</t>
  </si>
  <si>
    <t xml:space="preserve">(281) 870-6277
</t>
  </si>
  <si>
    <t xml:space="preserve">(719) 653-9777
</t>
  </si>
  <si>
    <t xml:space="preserve">(585) 500-2671
</t>
  </si>
  <si>
    <t xml:space="preserve">(832) 931-5211
</t>
  </si>
  <si>
    <t xml:space="preserve">(281) 979-8684
</t>
  </si>
  <si>
    <t xml:space="preserve">(832) 627-9767
</t>
  </si>
  <si>
    <t xml:space="preserve">(858) 740-1851
</t>
  </si>
  <si>
    <t xml:space="preserve">(361) 633-8096
</t>
  </si>
  <si>
    <t xml:space="preserve">(713) 823-0317
</t>
  </si>
  <si>
    <t xml:space="preserve">(916) 844-5386
</t>
  </si>
  <si>
    <t xml:space="preserve">(832) 892-4706
</t>
  </si>
  <si>
    <t xml:space="preserve">(936) 707-2932
</t>
  </si>
  <si>
    <t xml:space="preserve">(832) 752-9739
</t>
  </si>
  <si>
    <t xml:space="preserve">(832) 630-2712
</t>
  </si>
  <si>
    <t xml:space="preserve">(951) 796-5507
</t>
  </si>
  <si>
    <t xml:space="preserve">(346) 354-9645
</t>
  </si>
  <si>
    <t xml:space="preserve">(305) 793-8065
</t>
  </si>
  <si>
    <t xml:space="preserve">(512) 705-9808
</t>
  </si>
  <si>
    <t xml:space="preserve">(281) 753-3437
</t>
  </si>
  <si>
    <t xml:space="preserve">(346) 900-5608
</t>
  </si>
  <si>
    <t xml:space="preserve">(281) 687-4515
</t>
  </si>
  <si>
    <t xml:space="preserve">(253) 346-9709
</t>
  </si>
  <si>
    <t xml:space="preserve">(281) 460-2450
</t>
  </si>
  <si>
    <t xml:space="preserve">(832) 570-1532
</t>
  </si>
  <si>
    <t xml:space="preserve">(832) 949-6795
</t>
  </si>
  <si>
    <t xml:space="preserve">(832) 457-8228
</t>
  </si>
  <si>
    <t xml:space="preserve">(210) 560-6632
</t>
  </si>
  <si>
    <t xml:space="preserve">(832) 392-7136
</t>
  </si>
  <si>
    <t xml:space="preserve">(682) 201-4569
</t>
  </si>
  <si>
    <t xml:space="preserve">(915) 777-4034
</t>
  </si>
  <si>
    <t xml:space="preserve">(832) 273-0320
</t>
  </si>
  <si>
    <t xml:space="preserve">(312) 522-2572
</t>
  </si>
  <si>
    <t xml:space="preserve">Andrade 
</t>
  </si>
  <si>
    <t>Cristian</t>
  </si>
  <si>
    <t xml:space="preserve">(832) 352-2171
</t>
  </si>
  <si>
    <t xml:space="preserve">Boettcher 
</t>
  </si>
  <si>
    <t>Cleo</t>
  </si>
  <si>
    <t xml:space="preserve">(832) 760-4201
</t>
  </si>
  <si>
    <t xml:space="preserve">Saucedo 
</t>
  </si>
  <si>
    <t xml:space="preserve">(713) 941-9293
</t>
  </si>
  <si>
    <t>TAB</t>
  </si>
  <si>
    <t xml:space="preserve">Alvarez 
</t>
  </si>
  <si>
    <t xml:space="preserve">Baker 
</t>
  </si>
  <si>
    <t>Brendon</t>
  </si>
  <si>
    <t xml:space="preserve">Domond 
</t>
  </si>
  <si>
    <t xml:space="preserve">Legaspi 
</t>
  </si>
  <si>
    <t>Paul</t>
  </si>
  <si>
    <t>Noah</t>
  </si>
  <si>
    <t xml:space="preserve">(832) 708-7005
</t>
  </si>
  <si>
    <t xml:space="preserve">(832) 928-9310
</t>
  </si>
  <si>
    <t>Octavio</t>
  </si>
  <si>
    <t xml:space="preserve">Abdulghani 
</t>
  </si>
  <si>
    <t xml:space="preserve">(832) 600-7572
</t>
  </si>
  <si>
    <t xml:space="preserve">Aguilar 
</t>
  </si>
  <si>
    <t xml:space="preserve">(832) 248-8781
</t>
  </si>
  <si>
    <t xml:space="preserve">(346) 243-7372
</t>
  </si>
  <si>
    <t xml:space="preserve">Alvarez-Alvarez 
</t>
  </si>
  <si>
    <t xml:space="preserve">(832) 631-0661
</t>
  </si>
  <si>
    <t xml:space="preserve">Ang 
</t>
  </si>
  <si>
    <t xml:space="preserve">(281) 948-7232
</t>
  </si>
  <si>
    <t xml:space="preserve">Baiza 
</t>
  </si>
  <si>
    <t xml:space="preserve">(832) 898-0710
</t>
  </si>
  <si>
    <t xml:space="preserve">Beasley 
</t>
  </si>
  <si>
    <t xml:space="preserve">(530) 605-9102
</t>
  </si>
  <si>
    <t xml:space="preserve">Berger 
</t>
  </si>
  <si>
    <t xml:space="preserve">(281) 757-3115
</t>
  </si>
  <si>
    <t xml:space="preserve">Brooks 
</t>
  </si>
  <si>
    <t xml:space="preserve">(713) 294-6445
</t>
  </si>
  <si>
    <t xml:space="preserve">Catalan 
</t>
  </si>
  <si>
    <t xml:space="preserve">(936) 385-3483
</t>
  </si>
  <si>
    <t xml:space="preserve">(830) 360-6348
</t>
  </si>
  <si>
    <t xml:space="preserve">Costello 
</t>
  </si>
  <si>
    <t xml:space="preserve">(254) 677-5285
</t>
  </si>
  <si>
    <t xml:space="preserve">Criner 
</t>
  </si>
  <si>
    <t xml:space="preserve">(832) 471-0443
</t>
  </si>
  <si>
    <t xml:space="preserve">Davis 
</t>
  </si>
  <si>
    <t xml:space="preserve">(832) 891-6692
</t>
  </si>
  <si>
    <t xml:space="preserve">Fox 
</t>
  </si>
  <si>
    <t xml:space="preserve">(936) 232-2741
</t>
  </si>
  <si>
    <t xml:space="preserve">Gordon 
</t>
  </si>
  <si>
    <t xml:space="preserve">(936) 672-1082
</t>
  </si>
  <si>
    <t xml:space="preserve">Green 
</t>
  </si>
  <si>
    <t xml:space="preserve">(916) 836-9427
</t>
  </si>
  <si>
    <t xml:space="preserve">Hinds 
</t>
  </si>
  <si>
    <t xml:space="preserve">(561) 679-9767
</t>
  </si>
  <si>
    <t xml:space="preserve">Jaramillo 
</t>
  </si>
  <si>
    <t xml:space="preserve">(832) 815-8883
</t>
  </si>
  <si>
    <t xml:space="preserve">Kowalski 
</t>
  </si>
  <si>
    <t xml:space="preserve">(254) 292-0197
</t>
  </si>
  <si>
    <t xml:space="preserve">Laberge 
</t>
  </si>
  <si>
    <t xml:space="preserve">(832) 693-9326
</t>
  </si>
  <si>
    <t xml:space="preserve">Laher 
</t>
  </si>
  <si>
    <t xml:space="preserve">(254) 400-3598
</t>
  </si>
  <si>
    <t xml:space="preserve">Laugelli 
</t>
  </si>
  <si>
    <t xml:space="preserve">(301) 305-7111
</t>
  </si>
  <si>
    <t xml:space="preserve">Martinez-Medina 
</t>
  </si>
  <si>
    <t xml:space="preserve">(979) 557-5440
</t>
  </si>
  <si>
    <t xml:space="preserve">McGee 
</t>
  </si>
  <si>
    <t xml:space="preserve">(346) 621-5206
</t>
  </si>
  <si>
    <t xml:space="preserve">Ni 
</t>
  </si>
  <si>
    <t xml:space="preserve">(870) 819-6531
</t>
  </si>
  <si>
    <t xml:space="preserve">(312) 848-7636
</t>
  </si>
  <si>
    <t xml:space="preserve">Schaapveld 
</t>
  </si>
  <si>
    <t xml:space="preserve">(253) 282-4565
</t>
  </si>
  <si>
    <t xml:space="preserve">(832) 935-8656
</t>
  </si>
  <si>
    <t xml:space="preserve">Thrasher 
</t>
  </si>
  <si>
    <t xml:space="preserve">(806) 443-0476
</t>
  </si>
  <si>
    <t xml:space="preserve">Villamar 
</t>
  </si>
  <si>
    <t xml:space="preserve">(713) 503-0420
</t>
  </si>
  <si>
    <t xml:space="preserve">Villarreal 
</t>
  </si>
  <si>
    <t xml:space="preserve">(832) 654-2708
</t>
  </si>
  <si>
    <t xml:space="preserve">Zamora 
</t>
  </si>
  <si>
    <t xml:space="preserve">(210) 636-0163
</t>
  </si>
  <si>
    <t>2026 F</t>
  </si>
  <si>
    <t xml:space="preserve">Barnes 
</t>
  </si>
  <si>
    <t xml:space="preserve">Behringer 
</t>
  </si>
  <si>
    <t xml:space="preserve">Bernal 
</t>
  </si>
  <si>
    <t xml:space="preserve">Bolden 
</t>
  </si>
  <si>
    <t xml:space="preserve">Brannan 
</t>
  </si>
  <si>
    <t xml:space="preserve">Davalos 
</t>
  </si>
  <si>
    <t xml:space="preserve">Elguezabal 
</t>
  </si>
  <si>
    <t xml:space="preserve">Good 
</t>
  </si>
  <si>
    <t xml:space="preserve">Guerrero 
</t>
  </si>
  <si>
    <t xml:space="preserve">Kraemer 
</t>
  </si>
  <si>
    <t xml:space="preserve">Lee 
</t>
  </si>
  <si>
    <t xml:space="preserve">Manson 
</t>
  </si>
  <si>
    <t xml:space="preserve">McBride 
</t>
  </si>
  <si>
    <t xml:space="preserve">McGlory 
</t>
  </si>
  <si>
    <t xml:space="preserve">Miles 
</t>
  </si>
  <si>
    <t xml:space="preserve">Montalvo 
</t>
  </si>
  <si>
    <t xml:space="preserve">Nieto 
</t>
  </si>
  <si>
    <t xml:space="preserve">Pacheco 
</t>
  </si>
  <si>
    <t xml:space="preserve">Ponce 
</t>
  </si>
  <si>
    <t xml:space="preserve">Saksenberg 
</t>
  </si>
  <si>
    <t xml:space="preserve">Sanders 
</t>
  </si>
  <si>
    <t xml:space="preserve">Tristan 
</t>
  </si>
  <si>
    <t xml:space="preserve">Velasquez Guerrero 
</t>
  </si>
  <si>
    <t xml:space="preserve">Velazquez Hernandez 
</t>
  </si>
  <si>
    <t>2026 G</t>
  </si>
  <si>
    <t xml:space="preserve">Abrego 
</t>
  </si>
  <si>
    <t xml:space="preserve">(832) 466-3533
</t>
  </si>
  <si>
    <t xml:space="preserve">(832) 517-5914
</t>
  </si>
  <si>
    <t xml:space="preserve">Allee 
</t>
  </si>
  <si>
    <t xml:space="preserve">(832) 278-8992
</t>
  </si>
  <si>
    <t xml:space="preserve">Alonso 
</t>
  </si>
  <si>
    <t xml:space="preserve">(832) 267-4981
</t>
  </si>
  <si>
    <t xml:space="preserve">Arnold 
</t>
  </si>
  <si>
    <t xml:space="preserve">(713) 309-0669
</t>
  </si>
  <si>
    <t xml:space="preserve">(713) 265-8571
</t>
  </si>
  <si>
    <t xml:space="preserve">(832) 315-0366
</t>
  </si>
  <si>
    <t xml:space="preserve">Barajas 
</t>
  </si>
  <si>
    <t xml:space="preserve">(509) 961-4561
</t>
  </si>
  <si>
    <t xml:space="preserve">Bibbs 
</t>
  </si>
  <si>
    <t xml:space="preserve">(409) 554-9105
</t>
  </si>
  <si>
    <t xml:space="preserve">Blackmore 
</t>
  </si>
  <si>
    <t xml:space="preserve">(419) 910-0215
</t>
  </si>
  <si>
    <t xml:space="preserve">(317) 371-2149
</t>
  </si>
  <si>
    <t xml:space="preserve">Burg 
</t>
  </si>
  <si>
    <t xml:space="preserve">(281) 725-3154
</t>
  </si>
  <si>
    <t xml:space="preserve">(832) 690-2842
</t>
  </si>
  <si>
    <t xml:space="preserve">Cardenas 
</t>
  </si>
  <si>
    <t xml:space="preserve">(832) 659-5385
</t>
  </si>
  <si>
    <t xml:space="preserve">Carrasco 
</t>
  </si>
  <si>
    <t xml:space="preserve">(281) 808-1283
</t>
  </si>
  <si>
    <t xml:space="preserve">(713) 497-6323
</t>
  </si>
  <si>
    <t xml:space="preserve">Cobbert 
</t>
  </si>
  <si>
    <t xml:space="preserve">(832) 820-3721
</t>
  </si>
  <si>
    <t xml:space="preserve">(832) 468-8700
</t>
  </si>
  <si>
    <t xml:space="preserve">De Leon 
</t>
  </si>
  <si>
    <t xml:space="preserve">(929) 400-2378
</t>
  </si>
  <si>
    <t xml:space="preserve">Della Sala 
</t>
  </si>
  <si>
    <t xml:space="preserve">(281) 658-8233
</t>
  </si>
  <si>
    <t xml:space="preserve">Dennis 
</t>
  </si>
  <si>
    <t xml:space="preserve">(346) 520-3700
</t>
  </si>
  <si>
    <t xml:space="preserve">Evelina 
</t>
  </si>
  <si>
    <t xml:space="preserve">(352) 408-3232
</t>
  </si>
  <si>
    <t xml:space="preserve">Federowicz 
</t>
  </si>
  <si>
    <t xml:space="preserve">(732) 908-0430
</t>
  </si>
  <si>
    <t xml:space="preserve">Fitzpatrick 
</t>
  </si>
  <si>
    <t xml:space="preserve">(973) 289-0081
</t>
  </si>
  <si>
    <t xml:space="preserve">(346) 542-3812
</t>
  </si>
  <si>
    <t xml:space="preserve">Garza 
</t>
  </si>
  <si>
    <t xml:space="preserve">(832) 641-8925
</t>
  </si>
  <si>
    <t xml:space="preserve">Gee 
</t>
  </si>
  <si>
    <t xml:space="preserve">(713) 384-0736
</t>
  </si>
  <si>
    <t xml:space="preserve">Gonzalez 
</t>
  </si>
  <si>
    <t xml:space="preserve">(717) 562-6971
</t>
  </si>
  <si>
    <t xml:space="preserve">(281) 906-7920
</t>
  </si>
  <si>
    <t xml:space="preserve">(713) 902-9395
</t>
  </si>
  <si>
    <t xml:space="preserve">Jacobo 
</t>
  </si>
  <si>
    <t xml:space="preserve">(832) 571-7695
</t>
  </si>
  <si>
    <t xml:space="preserve">(346) 543-3771
</t>
  </si>
  <si>
    <t xml:space="preserve">(832) 450-6599
</t>
  </si>
  <si>
    <t xml:space="preserve">Juarez Arredondo 
</t>
  </si>
  <si>
    <t xml:space="preserve">(832) 716-4834
</t>
  </si>
  <si>
    <t xml:space="preserve">Lara 
</t>
  </si>
  <si>
    <t xml:space="preserve">(773) 998-8585
</t>
  </si>
  <si>
    <t xml:space="preserve">Laughlin 
</t>
  </si>
  <si>
    <t xml:space="preserve">(281) 706-6868
</t>
  </si>
  <si>
    <t xml:space="preserve">Lucas 
</t>
  </si>
  <si>
    <t xml:space="preserve">(630) 696-7704
</t>
  </si>
  <si>
    <t xml:space="preserve">Mallet 
</t>
  </si>
  <si>
    <t xml:space="preserve">(713) 732-6455
</t>
  </si>
  <si>
    <t xml:space="preserve">Martinez 
</t>
  </si>
  <si>
    <t xml:space="preserve">(785) 640-7167
</t>
  </si>
  <si>
    <t xml:space="preserve">(346) 714-1963
</t>
  </si>
  <si>
    <t xml:space="preserve">(346) 255-7301
</t>
  </si>
  <si>
    <t xml:space="preserve">(281) 917-1556
</t>
  </si>
  <si>
    <t xml:space="preserve">Matera 
</t>
  </si>
  <si>
    <t xml:space="preserve">(862) 432-3477
</t>
  </si>
  <si>
    <t xml:space="preserve">Mccarther 
</t>
  </si>
  <si>
    <t xml:space="preserve">(832) 318-5424
</t>
  </si>
  <si>
    <t xml:space="preserve">Medina 
</t>
  </si>
  <si>
    <t xml:space="preserve">(713) 201-4498
</t>
  </si>
  <si>
    <t xml:space="preserve">Mee 
</t>
  </si>
  <si>
    <t xml:space="preserve">(832) 916-7763
</t>
  </si>
  <si>
    <t xml:space="preserve">Mika 
</t>
  </si>
  <si>
    <t xml:space="preserve">(713) 775-3926
</t>
  </si>
  <si>
    <t xml:space="preserve">Moore 
</t>
  </si>
  <si>
    <t xml:space="preserve">(931) 436-4478
</t>
  </si>
  <si>
    <t xml:space="preserve">Muniz Rodriguez 
</t>
  </si>
  <si>
    <t xml:space="preserve">(832) 597-0827
</t>
  </si>
  <si>
    <t xml:space="preserve">Myles 
</t>
  </si>
  <si>
    <t xml:space="preserve">(914) 433-5459
</t>
  </si>
  <si>
    <t xml:space="preserve">Nunn 
</t>
  </si>
  <si>
    <t xml:space="preserve">(817) 229-4118
</t>
  </si>
  <si>
    <t xml:space="preserve">Oxendine 
</t>
  </si>
  <si>
    <t xml:space="preserve">(209) 471-1212
</t>
  </si>
  <si>
    <t xml:space="preserve">Palla 
</t>
  </si>
  <si>
    <t xml:space="preserve">(936) 697-9669
</t>
  </si>
  <si>
    <t xml:space="preserve">Perales 
</t>
  </si>
  <si>
    <t xml:space="preserve">(832) 865-4612
</t>
  </si>
  <si>
    <t xml:space="preserve">Putnam 
</t>
  </si>
  <si>
    <t xml:space="preserve">(281) 216-5836
</t>
  </si>
  <si>
    <t xml:space="preserve">Ross 
</t>
  </si>
  <si>
    <t xml:space="preserve">(713) 427-1860
</t>
  </si>
  <si>
    <t xml:space="preserve">Rubio Zavala 
</t>
  </si>
  <si>
    <t xml:space="preserve">(725) 895-6709
</t>
  </si>
  <si>
    <t xml:space="preserve">Salinas 
</t>
  </si>
  <si>
    <t xml:space="preserve">(713) 330-5655
</t>
  </si>
  <si>
    <t xml:space="preserve">Schulz 
</t>
  </si>
  <si>
    <t xml:space="preserve">(650) 793-4465
</t>
  </si>
  <si>
    <t xml:space="preserve">Sejour 
</t>
  </si>
  <si>
    <t xml:space="preserve">(786) 488-8119
</t>
  </si>
  <si>
    <t xml:space="preserve">Shalilian 
</t>
  </si>
  <si>
    <t xml:space="preserve">(832) 563-1977
</t>
  </si>
  <si>
    <t xml:space="preserve">Spencer 
</t>
  </si>
  <si>
    <t xml:space="preserve">(909) 329-0888
</t>
  </si>
  <si>
    <t xml:space="preserve">Stewart 
</t>
  </si>
  <si>
    <t xml:space="preserve">(281) 995-7575
</t>
  </si>
  <si>
    <t xml:space="preserve">Sylvester 
</t>
  </si>
  <si>
    <t xml:space="preserve">(850) 902-2745
</t>
  </si>
  <si>
    <t xml:space="preserve">Todd 
</t>
  </si>
  <si>
    <t xml:space="preserve">(832) 986-3664
</t>
  </si>
  <si>
    <t xml:space="preserve">Truong 
</t>
  </si>
  <si>
    <t xml:space="preserve">(713) 367-3122
</t>
  </si>
  <si>
    <t xml:space="preserve">Vogel 
</t>
  </si>
  <si>
    <t xml:space="preserve">(614) 204-9092
</t>
  </si>
  <si>
    <t xml:space="preserve">Walker 
</t>
  </si>
  <si>
    <t xml:space="preserve">(832) 938-0256
</t>
  </si>
  <si>
    <t xml:space="preserve">Zapata 
</t>
  </si>
  <si>
    <t xml:space="preserve">(713) 291-6413
</t>
  </si>
  <si>
    <t>2026 H</t>
  </si>
  <si>
    <t>Aiden</t>
  </si>
  <si>
    <t>Autrey</t>
  </si>
  <si>
    <t>Tony</t>
  </si>
  <si>
    <t>Lawson</t>
  </si>
  <si>
    <t>Bowman</t>
  </si>
  <si>
    <t>David</t>
  </si>
  <si>
    <t>Marcos</t>
  </si>
  <si>
    <t>Marc</t>
  </si>
  <si>
    <t>Cesar</t>
  </si>
  <si>
    <t>Anthony</t>
  </si>
  <si>
    <t>Contreras</t>
  </si>
  <si>
    <t>Victor</t>
  </si>
  <si>
    <t>Telley</t>
  </si>
  <si>
    <t>Khyon</t>
  </si>
  <si>
    <t>Yair</t>
  </si>
  <si>
    <t>Jecal</t>
  </si>
  <si>
    <t>Justice</t>
  </si>
  <si>
    <t>Edwin</t>
  </si>
  <si>
    <t>Julien</t>
  </si>
  <si>
    <t>Jace</t>
  </si>
  <si>
    <t>Braulio</t>
  </si>
  <si>
    <t>Enrique</t>
  </si>
  <si>
    <t>Brooks</t>
  </si>
  <si>
    <t>Laurence</t>
  </si>
  <si>
    <t>Lawrence</t>
  </si>
  <si>
    <t>Orlando</t>
  </si>
  <si>
    <t>Antone</t>
  </si>
  <si>
    <t>Kendrick</t>
  </si>
  <si>
    <t>Ivan</t>
  </si>
  <si>
    <t>Devonte</t>
  </si>
  <si>
    <t>Colby</t>
  </si>
  <si>
    <t>Jaxson</t>
  </si>
  <si>
    <t>Faustino</t>
  </si>
  <si>
    <t>Graysen</t>
  </si>
  <si>
    <t>Richmond</t>
  </si>
  <si>
    <t>Efren</t>
  </si>
  <si>
    <t>Niaave</t>
  </si>
  <si>
    <t>Ida</t>
  </si>
  <si>
    <t>Tacory</t>
  </si>
  <si>
    <t>Jovanni</t>
  </si>
  <si>
    <t>Darius</t>
  </si>
  <si>
    <t>Minh</t>
  </si>
  <si>
    <t>Gunnar</t>
  </si>
  <si>
    <t>Jamichael</t>
  </si>
  <si>
    <t>Erick</t>
  </si>
  <si>
    <t>Yasin</t>
  </si>
  <si>
    <t>Adam</t>
  </si>
  <si>
    <t>Raul</t>
  </si>
  <si>
    <t>Taylor</t>
  </si>
  <si>
    <t>Josue</t>
  </si>
  <si>
    <t>Jackson</t>
  </si>
  <si>
    <t>Ryne</t>
  </si>
  <si>
    <t>Davin</t>
  </si>
  <si>
    <t>Santos</t>
  </si>
  <si>
    <t>Zaccai</t>
  </si>
  <si>
    <t>Jeffery</t>
  </si>
  <si>
    <t>Brendan</t>
  </si>
  <si>
    <t>Colton</t>
  </si>
  <si>
    <t>Gavin</t>
  </si>
  <si>
    <t>Okevious</t>
  </si>
  <si>
    <t>Logan</t>
  </si>
  <si>
    <t>Blake</t>
  </si>
  <si>
    <t>Mussah</t>
  </si>
  <si>
    <t>Solomon</t>
  </si>
  <si>
    <t>Emin</t>
  </si>
  <si>
    <t>Phoenix</t>
  </si>
  <si>
    <t>Zane</t>
  </si>
  <si>
    <t>Kenneth</t>
  </si>
  <si>
    <t>Isaiah</t>
  </si>
  <si>
    <t>Manuel</t>
  </si>
  <si>
    <t>Marifer</t>
  </si>
  <si>
    <t>Carlos</t>
  </si>
  <si>
    <t>Jaxon</t>
  </si>
  <si>
    <t>Jacory</t>
  </si>
  <si>
    <t>Azlynn</t>
  </si>
  <si>
    <t>Jarvis</t>
  </si>
  <si>
    <t>Vianka</t>
  </si>
  <si>
    <t>Clinton</t>
  </si>
  <si>
    <t>Jeffrey</t>
  </si>
  <si>
    <t>Samuel</t>
  </si>
  <si>
    <t xml:space="preserve">Michael </t>
  </si>
  <si>
    <t>Flores/Cole</t>
  </si>
  <si>
    <t>Hahn/Blanks</t>
  </si>
  <si>
    <t>Graduating with 26 G&amp;I</t>
  </si>
  <si>
    <t>Index</t>
  </si>
  <si>
    <t>2026 I</t>
  </si>
  <si>
    <t>BoClair</t>
  </si>
  <si>
    <t>Ceeney</t>
  </si>
  <si>
    <t>Fowler</t>
  </si>
  <si>
    <t>Garrett</t>
  </si>
  <si>
    <t>Hadnott</t>
  </si>
  <si>
    <t>Alyssa</t>
  </si>
  <si>
    <t>Huffman</t>
  </si>
  <si>
    <t>Kaleb</t>
  </si>
  <si>
    <t>Marrero</t>
  </si>
  <si>
    <t>Martinez</t>
  </si>
  <si>
    <t>Pedro</t>
  </si>
  <si>
    <t>Matthews</t>
  </si>
  <si>
    <t>Kalob</t>
  </si>
  <si>
    <t>Merryman</t>
  </si>
  <si>
    <t>Eva</t>
  </si>
  <si>
    <t>Perez</t>
  </si>
  <si>
    <t>Johnathan</t>
  </si>
  <si>
    <t>Sampson</t>
  </si>
  <si>
    <t>Sanchez</t>
  </si>
  <si>
    <t>Martin</t>
  </si>
  <si>
    <t>Shaw</t>
  </si>
  <si>
    <t>Steven</t>
  </si>
  <si>
    <t>Turmero</t>
  </si>
  <si>
    <t>Visser</t>
  </si>
  <si>
    <t xml:space="preserve">Anderson 
</t>
  </si>
  <si>
    <t>Zoe</t>
  </si>
  <si>
    <t xml:space="preserve">(210) 740-3994
</t>
  </si>
  <si>
    <t xml:space="preserve">(713) 518-9799
</t>
  </si>
  <si>
    <t xml:space="preserve">(713) 540-8439
</t>
  </si>
  <si>
    <t xml:space="preserve">Cerda 
</t>
  </si>
  <si>
    <t xml:space="preserve">(832) 708-8251
</t>
  </si>
  <si>
    <t>Shaston</t>
  </si>
  <si>
    <t xml:space="preserve">(774) 414-9221
</t>
  </si>
  <si>
    <t xml:space="preserve">Craig 
</t>
  </si>
  <si>
    <t>Declan</t>
  </si>
  <si>
    <t xml:space="preserve">(757) 560-5674
</t>
  </si>
  <si>
    <t xml:space="preserve">De France 
</t>
  </si>
  <si>
    <t xml:space="preserve">(832) 244-1085
</t>
  </si>
  <si>
    <t xml:space="preserve">Del Valle 
</t>
  </si>
  <si>
    <t>Guillermo</t>
  </si>
  <si>
    <t xml:space="preserve">(832) 251-6419
</t>
  </si>
  <si>
    <t xml:space="preserve">Goodwin 
</t>
  </si>
  <si>
    <t>Truman</t>
  </si>
  <si>
    <t xml:space="preserve">(832) 702-9823
</t>
  </si>
  <si>
    <t xml:space="preserve">Grizzaffi 
</t>
  </si>
  <si>
    <t>Frank</t>
  </si>
  <si>
    <t xml:space="preserve">(409) 771-6574
</t>
  </si>
  <si>
    <t xml:space="preserve">Guzman 
</t>
  </si>
  <si>
    <t xml:space="preserve">(346) 740-3729
</t>
  </si>
  <si>
    <t xml:space="preserve">Hoskins 
</t>
  </si>
  <si>
    <t xml:space="preserve">(713) 677-9807
</t>
  </si>
  <si>
    <t xml:space="preserve">(832) 599-2945
</t>
  </si>
  <si>
    <t xml:space="preserve">Lester 
</t>
  </si>
  <si>
    <t>Alphonso</t>
  </si>
  <si>
    <t xml:space="preserve">(323) 681-4143
</t>
  </si>
  <si>
    <t xml:space="preserve">Lopez 
</t>
  </si>
  <si>
    <t>Diego</t>
  </si>
  <si>
    <t xml:space="preserve">(281) 995-5423
</t>
  </si>
  <si>
    <t xml:space="preserve">Marion 
</t>
  </si>
  <si>
    <t>Emanuel</t>
  </si>
  <si>
    <t xml:space="preserve">(662) 306-0356
</t>
  </si>
  <si>
    <t xml:space="preserve">(346) 350-7553
</t>
  </si>
  <si>
    <t xml:space="preserve">McMillian 
</t>
  </si>
  <si>
    <t>Keshon</t>
  </si>
  <si>
    <t xml:space="preserve">(478) 955-1538
</t>
  </si>
  <si>
    <t xml:space="preserve">Munoz 
</t>
  </si>
  <si>
    <t>Vincent</t>
  </si>
  <si>
    <t xml:space="preserve">(713) 294-0196
</t>
  </si>
  <si>
    <t xml:space="preserve">Osorio 
</t>
  </si>
  <si>
    <t>Randolph</t>
  </si>
  <si>
    <t xml:space="preserve">(713) 382-1402
</t>
  </si>
  <si>
    <t xml:space="preserve">Pardillo 
</t>
  </si>
  <si>
    <t xml:space="preserve">(832) 766-5824
</t>
  </si>
  <si>
    <t xml:space="preserve">Petro 
</t>
  </si>
  <si>
    <t>Sergio</t>
  </si>
  <si>
    <t xml:space="preserve">(832) 898-0037
</t>
  </si>
  <si>
    <t xml:space="preserve">(713) 384-1637
</t>
  </si>
  <si>
    <t xml:space="preserve">Sarmiento 
</t>
  </si>
  <si>
    <t xml:space="preserve">(832) 531-5550
</t>
  </si>
  <si>
    <t>Ashley</t>
  </si>
  <si>
    <t xml:space="preserve">(951) 594-1014
</t>
  </si>
  <si>
    <t xml:space="preserve">Vera 
</t>
  </si>
  <si>
    <t xml:space="preserve">(346) 246-5911
</t>
  </si>
  <si>
    <t xml:space="preserve">Washington 
</t>
  </si>
  <si>
    <t>Marshall</t>
  </si>
  <si>
    <t xml:space="preserve">(901) 426-2053
</t>
  </si>
  <si>
    <t xml:space="preserve">Ybarra 
</t>
  </si>
  <si>
    <t>Cooper</t>
  </si>
  <si>
    <t xml:space="preserve">(713) 498-0723
</t>
  </si>
  <si>
    <t>2026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</si>
</sst>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b/>
      <sz val="16"/>
      <color theme="1"/>
      <name val="Arial Black"/>
      <family val="2"/>
    </font>
    <font>
      <sz val="12"/>
      <color theme="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b/>
      <sz val="20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9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right"/>
    </xf>
    <xf numFmtId="0" fontId="1" fillId="0" borderId="3" xfId="0" applyFont="1" applyBorder="1"/>
    <xf numFmtId="0" fontId="5" fillId="0" borderId="4" xfId="0" applyFont="1" applyBorder="1"/>
    <xf numFmtId="0" fontId="1" fillId="2" borderId="4" xfId="0" applyFont="1" applyFill="1" applyBorder="1"/>
    <xf numFmtId="0" fontId="1" fillId="0" borderId="4" xfId="0" applyFont="1" applyBorder="1"/>
    <xf numFmtId="0" fontId="2" fillId="2" borderId="1" xfId="0" applyFont="1" applyFill="1" applyBorder="1"/>
    <xf numFmtId="14" fontId="1" fillId="2" borderId="1" xfId="0" applyNumberFormat="1" applyFont="1" applyFill="1" applyBorder="1"/>
    <xf numFmtId="0" fontId="1" fillId="0" borderId="4" xfId="0" applyFont="1" applyBorder="1" applyAlignment="1">
      <alignment horizontal="center"/>
    </xf>
    <xf numFmtId="0" fontId="1" fillId="0" borderId="9" xfId="0" applyFont="1" applyBorder="1"/>
    <xf numFmtId="0" fontId="1" fillId="2" borderId="6" xfId="0" applyFont="1" applyFill="1" applyBorder="1"/>
    <xf numFmtId="0" fontId="1" fillId="2" borderId="4" xfId="0" applyFont="1" applyFill="1" applyBorder="1" applyAlignment="1">
      <alignment horizontal="center"/>
    </xf>
    <xf numFmtId="0" fontId="1" fillId="0" borderId="8" xfId="0" applyFont="1" applyBorder="1"/>
    <xf numFmtId="0" fontId="1" fillId="0" borderId="6" xfId="0" applyFont="1" applyBorder="1"/>
    <xf numFmtId="0" fontId="1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5" borderId="1" xfId="0" applyFont="1" applyFill="1" applyBorder="1"/>
    <xf numFmtId="0" fontId="2" fillId="5" borderId="1" xfId="0" applyFont="1" applyFill="1" applyBorder="1"/>
    <xf numFmtId="14" fontId="1" fillId="5" borderId="1" xfId="0" applyNumberFormat="1" applyFont="1" applyFill="1" applyBorder="1"/>
    <xf numFmtId="0" fontId="10" fillId="0" borderId="0" xfId="0" applyFont="1" applyAlignment="1">
      <alignment horizontal="center"/>
    </xf>
    <xf numFmtId="0" fontId="5" fillId="0" borderId="5" xfId="0" applyFont="1" applyBorder="1"/>
    <xf numFmtId="0" fontId="11" fillId="0" borderId="4" xfId="0" applyFont="1" applyBorder="1"/>
    <xf numFmtId="0" fontId="11" fillId="0" borderId="6" xfId="0" applyFont="1" applyBorder="1"/>
    <xf numFmtId="0" fontId="11" fillId="0" borderId="9" xfId="0" applyFont="1" applyBorder="1"/>
    <xf numFmtId="0" fontId="11" fillId="0" borderId="3" xfId="0" applyFont="1" applyBorder="1"/>
    <xf numFmtId="0" fontId="11" fillId="0" borderId="5" xfId="0" applyFont="1" applyBorder="1"/>
    <xf numFmtId="0" fontId="5" fillId="0" borderId="6" xfId="0" applyFont="1" applyBorder="1"/>
    <xf numFmtId="0" fontId="5" fillId="0" borderId="9" xfId="0" applyFont="1" applyBorder="1"/>
    <xf numFmtId="0" fontId="5" fillId="0" borderId="3" xfId="0" applyFont="1" applyBorder="1"/>
    <xf numFmtId="0" fontId="8" fillId="0" borderId="0" xfId="0" applyFont="1" applyAlignment="1">
      <alignment horizontal="center"/>
    </xf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9" fillId="0" borderId="0" xfId="0" applyFont="1"/>
    <xf numFmtId="14" fontId="9" fillId="0" borderId="0" xfId="0" applyNumberFormat="1" applyFont="1"/>
    <xf numFmtId="0" fontId="9" fillId="0" borderId="0" xfId="0" applyFont="1" applyAlignment="1">
      <alignment horizontal="center"/>
    </xf>
    <xf numFmtId="0" fontId="0" fillId="4" borderId="0" xfId="0" applyFill="1"/>
    <xf numFmtId="14" fontId="0" fillId="4" borderId="0" xfId="0" applyNumberFormat="1" applyFill="1"/>
    <xf numFmtId="0" fontId="0" fillId="8" borderId="0" xfId="0" applyFill="1"/>
    <xf numFmtId="14" fontId="0" fillId="8" borderId="0" xfId="0" applyNumberFormat="1" applyFill="1"/>
    <xf numFmtId="0" fontId="0" fillId="3" borderId="0" xfId="0" applyFill="1"/>
    <xf numFmtId="14" fontId="0" fillId="3" borderId="0" xfId="0" applyNumberFormat="1" applyFill="1"/>
    <xf numFmtId="0" fontId="0" fillId="9" borderId="0" xfId="0" applyFill="1"/>
    <xf numFmtId="14" fontId="0" fillId="9" borderId="0" xfId="0" applyNumberFormat="1" applyFill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10" borderId="1" xfId="0" applyFont="1" applyFill="1" applyBorder="1"/>
    <xf numFmtId="0" fontId="2" fillId="10" borderId="1" xfId="0" applyFont="1" applyFill="1" applyBorder="1"/>
    <xf numFmtId="14" fontId="1" fillId="10" borderId="1" xfId="0" applyNumberFormat="1" applyFont="1" applyFill="1" applyBorder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/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strike/>
        <color rgb="FFFF0000"/>
      </font>
    </dxf>
    <dxf>
      <font>
        <strike/>
        <color theme="9"/>
      </font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Station%20Certification/Certification%20-%20Shared/&#931;Roster%20-%20Cadets.xlsx" TargetMode="External"/><Relationship Id="rId2" Type="http://schemas.openxmlformats.org/officeDocument/2006/relationships/externalLinkPath" Target="https://houtx-my.sharepoint.com/personal/tho_le_houstontx_gov/Documents/Station%20Certification/Certification%20-%20Shared/&#931;Roster%20-%20Cadets.xlsx" TargetMode="External"/><Relationship Id="rId1" Type="http://schemas.openxmlformats.org/officeDocument/2006/relationships/externalLinkPath" Target="/personal/tho_le_houstontx_gov/Documents/Station%20Certification/Certification%20-%20Shared/&#931;Roster%20-%20Cade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lank"/>
      <sheetName val="2025 K"/>
      <sheetName val="2026 E"/>
      <sheetName val="2026 B"/>
      <sheetName val="2026 C"/>
      <sheetName val="2026 D"/>
      <sheetName val="2026 F"/>
      <sheetName val="2026 G"/>
      <sheetName val="2026 I"/>
      <sheetName val="2026 H"/>
      <sheetName val="2026 J"/>
      <sheetName val="Resigned"/>
      <sheetName val="Total"/>
      <sheetName val="ApplyTexas"/>
      <sheetName val="ActiveRoster"/>
      <sheetName val="TCFP Employee Appointment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D1" t="str">
            <v>2026D</v>
          </cell>
          <cell r="E1">
            <v>24</v>
          </cell>
          <cell r="I1" t="str">
            <v>2026G</v>
          </cell>
          <cell r="J1">
            <v>8</v>
          </cell>
          <cell r="N1" t="str">
            <v>2026H</v>
          </cell>
          <cell r="O1">
            <v>18</v>
          </cell>
          <cell r="S1" t="str">
            <v>2026I</v>
          </cell>
          <cell r="T1">
            <v>5</v>
          </cell>
          <cell r="X1" t="str">
            <v>2026J</v>
          </cell>
          <cell r="Y1">
            <v>5</v>
          </cell>
        </row>
        <row r="2">
          <cell r="C2" t="str">
            <v>Last Name</v>
          </cell>
          <cell r="D2" t="str">
            <v>First Name</v>
          </cell>
          <cell r="E2" t="str">
            <v>Date created</v>
          </cell>
          <cell r="H2" t="str">
            <v>Last Name</v>
          </cell>
          <cell r="I2" t="str">
            <v>First Name</v>
          </cell>
          <cell r="J2" t="str">
            <v>Date created</v>
          </cell>
          <cell r="M2" t="str">
            <v>LastName</v>
          </cell>
          <cell r="N2" t="str">
            <v>FirstName</v>
          </cell>
          <cell r="O2" t="str">
            <v>Date created</v>
          </cell>
          <cell r="R2" t="str">
            <v>Last Name</v>
          </cell>
          <cell r="S2" t="str">
            <v>First Name</v>
          </cell>
          <cell r="T2" t="str">
            <v>Date created</v>
          </cell>
          <cell r="W2" t="str">
            <v>Last Name</v>
          </cell>
          <cell r="X2" t="str">
            <v>First Name</v>
          </cell>
          <cell r="Y2" t="str">
            <v>Date created</v>
          </cell>
        </row>
        <row r="3">
          <cell r="B3" t="str">
            <v>*</v>
          </cell>
          <cell r="C3" t="str">
            <v>Andrade</v>
          </cell>
          <cell r="D3" t="str">
            <v>Cristian</v>
          </cell>
          <cell r="E3">
            <v>46127</v>
          </cell>
          <cell r="G3" t="str">
            <v>*</v>
          </cell>
          <cell r="H3" t="str">
            <v>McBride</v>
          </cell>
          <cell r="I3" t="str">
            <v>Andrew</v>
          </cell>
          <cell r="J3">
            <v>46198</v>
          </cell>
          <cell r="L3" t="str">
            <v>*</v>
          </cell>
          <cell r="M3" t="str">
            <v>Truong</v>
          </cell>
          <cell r="N3" t="str">
            <v>Minh</v>
          </cell>
          <cell r="O3">
            <v>46195</v>
          </cell>
          <cell r="Q3" t="str">
            <v>*</v>
          </cell>
          <cell r="R3" t="str">
            <v>Ceeney</v>
          </cell>
          <cell r="S3" t="str">
            <v xml:space="preserve">Charles </v>
          </cell>
          <cell r="T3">
            <v>46275</v>
          </cell>
          <cell r="V3" t="str">
            <v>*</v>
          </cell>
          <cell r="W3" t="str">
            <v>Marion</v>
          </cell>
          <cell r="X3" t="str">
            <v xml:space="preserve">Emanuel </v>
          </cell>
          <cell r="Y3">
            <v>46275</v>
          </cell>
        </row>
        <row r="4">
          <cell r="B4" t="str">
            <v>*</v>
          </cell>
          <cell r="C4" t="str">
            <v>Boettcher</v>
          </cell>
          <cell r="D4" t="str">
            <v>Cleo</v>
          </cell>
          <cell r="E4">
            <v>46128</v>
          </cell>
          <cell r="G4" t="str">
            <v>*</v>
          </cell>
          <cell r="H4" t="str">
            <v>Ponce</v>
          </cell>
          <cell r="I4" t="str">
            <v>Angel.pdf</v>
          </cell>
          <cell r="J4">
            <v>46230</v>
          </cell>
          <cell r="L4" t="str">
            <v>*</v>
          </cell>
          <cell r="M4" t="str">
            <v>Federowicz</v>
          </cell>
          <cell r="N4" t="str">
            <v>Daniel</v>
          </cell>
          <cell r="O4">
            <v>46197</v>
          </cell>
          <cell r="Q4" t="str">
            <v>*</v>
          </cell>
          <cell r="R4" t="str">
            <v>Visser</v>
          </cell>
          <cell r="S4" t="str">
            <v xml:space="preserve">Jesse </v>
          </cell>
          <cell r="T4">
            <v>46280</v>
          </cell>
          <cell r="V4" t="str">
            <v>*</v>
          </cell>
          <cell r="W4" t="str">
            <v>Jones</v>
          </cell>
          <cell r="X4" t="str">
            <v xml:space="preserve">Xavier </v>
          </cell>
          <cell r="Y4">
            <v>46280</v>
          </cell>
        </row>
        <row r="5">
          <cell r="B5" t="str">
            <v>*</v>
          </cell>
          <cell r="C5" t="str">
            <v>Saucedo</v>
          </cell>
          <cell r="D5" t="str">
            <v>Christopher</v>
          </cell>
          <cell r="E5">
            <v>46134</v>
          </cell>
          <cell r="G5" t="str">
            <v>*</v>
          </cell>
          <cell r="H5" t="str">
            <v>Guerrero</v>
          </cell>
          <cell r="I5" t="str">
            <v>Miguel</v>
          </cell>
          <cell r="J5">
            <v>46245</v>
          </cell>
          <cell r="L5" t="str">
            <v>*</v>
          </cell>
          <cell r="M5" t="str">
            <v>Rubio-Zavala</v>
          </cell>
          <cell r="N5" t="str">
            <v>Efren</v>
          </cell>
          <cell r="O5">
            <v>46197</v>
          </cell>
          <cell r="Q5" t="str">
            <v>*</v>
          </cell>
          <cell r="R5" t="str">
            <v>Matthews</v>
          </cell>
          <cell r="S5" t="str">
            <v xml:space="preserve">Kalob </v>
          </cell>
          <cell r="T5">
            <v>46286</v>
          </cell>
          <cell r="V5" t="str">
            <v>*</v>
          </cell>
          <cell r="W5" t="str">
            <v xml:space="preserve">Lopez,Diego </v>
          </cell>
          <cell r="Y5">
            <v>46288</v>
          </cell>
        </row>
        <row r="6">
          <cell r="B6" t="str">
            <v>*</v>
          </cell>
          <cell r="C6" t="str">
            <v>Perez</v>
          </cell>
          <cell r="D6" t="str">
            <v>Yesenia</v>
          </cell>
          <cell r="E6">
            <v>46140</v>
          </cell>
          <cell r="G6" t="str">
            <v>*</v>
          </cell>
          <cell r="H6" t="str">
            <v>Sakesenberg</v>
          </cell>
          <cell r="I6" t="str">
            <v>Blake</v>
          </cell>
          <cell r="J6">
            <v>46245</v>
          </cell>
          <cell r="L6" t="str">
            <v>*</v>
          </cell>
          <cell r="M6" t="str">
            <v>Bowman</v>
          </cell>
          <cell r="N6" t="str">
            <v>David</v>
          </cell>
          <cell r="O6">
            <v>46202</v>
          </cell>
          <cell r="Q6" t="str">
            <v>*</v>
          </cell>
          <cell r="R6" t="str">
            <v>Perez</v>
          </cell>
          <cell r="S6" t="str">
            <v xml:space="preserve">Carlos </v>
          </cell>
          <cell r="T6">
            <v>46288</v>
          </cell>
          <cell r="W6" t="str">
            <v>Munoz</v>
          </cell>
          <cell r="X6" t="str">
            <v>Vincent.pdf</v>
          </cell>
          <cell r="Y6">
            <v>46294</v>
          </cell>
        </row>
        <row r="7">
          <cell r="B7" t="str">
            <v>*</v>
          </cell>
          <cell r="C7" t="str">
            <v>McDonald</v>
          </cell>
          <cell r="D7" t="str">
            <v>Tevin</v>
          </cell>
          <cell r="E7">
            <v>46149</v>
          </cell>
          <cell r="G7" t="str">
            <v>*</v>
          </cell>
          <cell r="H7" t="str">
            <v>Davalos</v>
          </cell>
          <cell r="I7" t="str">
            <v>Marier.pdf</v>
          </cell>
          <cell r="J7">
            <v>46251</v>
          </cell>
          <cell r="L7" t="str">
            <v>*</v>
          </cell>
          <cell r="M7" t="str">
            <v>Lucus</v>
          </cell>
          <cell r="N7" t="str">
            <v>Laurence</v>
          </cell>
          <cell r="O7">
            <v>46210</v>
          </cell>
          <cell r="Q7" t="str">
            <v>*</v>
          </cell>
          <cell r="R7" t="str">
            <v>Sampson</v>
          </cell>
          <cell r="S7" t="str">
            <v xml:space="preserve">Anthony </v>
          </cell>
          <cell r="T7">
            <v>46288</v>
          </cell>
          <cell r="W7" t="str">
            <v>Spencer</v>
          </cell>
          <cell r="X7" t="str">
            <v>Ashley.pdf</v>
          </cell>
          <cell r="Y7">
            <v>46295</v>
          </cell>
        </row>
        <row r="8">
          <cell r="B8" t="str">
            <v>*</v>
          </cell>
          <cell r="C8" t="str">
            <v>Rugley</v>
          </cell>
          <cell r="D8" t="str">
            <v>Malik</v>
          </cell>
          <cell r="E8">
            <v>46153</v>
          </cell>
          <cell r="G8" t="str">
            <v>*</v>
          </cell>
          <cell r="H8" t="str">
            <v>Manson</v>
          </cell>
          <cell r="I8" t="str">
            <v>Azlynn</v>
          </cell>
          <cell r="J8">
            <v>46254</v>
          </cell>
          <cell r="L8" t="str">
            <v>*</v>
          </cell>
          <cell r="M8" t="str">
            <v>Sylvester</v>
          </cell>
          <cell r="N8" t="str">
            <v>Darius</v>
          </cell>
          <cell r="O8">
            <v>46224</v>
          </cell>
        </row>
        <row r="9">
          <cell r="B9" t="str">
            <v>*</v>
          </cell>
          <cell r="C9" t="str">
            <v>Chavez</v>
          </cell>
          <cell r="D9" t="str">
            <v>Alexis</v>
          </cell>
          <cell r="E9">
            <v>46183</v>
          </cell>
          <cell r="G9" t="str">
            <v>*</v>
          </cell>
          <cell r="H9" t="str">
            <v>Carlos</v>
          </cell>
          <cell r="I9" t="str">
            <v>Resignation</v>
          </cell>
          <cell r="J9">
            <v>46254</v>
          </cell>
          <cell r="L9" t="str">
            <v>*</v>
          </cell>
          <cell r="M9" t="str">
            <v>Walker</v>
          </cell>
          <cell r="N9" t="str">
            <v>Jamichael</v>
          </cell>
          <cell r="O9">
            <v>46239</v>
          </cell>
        </row>
        <row r="10">
          <cell r="B10" t="str">
            <v>*</v>
          </cell>
          <cell r="C10" t="str">
            <v>Fabiyi</v>
          </cell>
          <cell r="D10" t="str">
            <v>Elijah</v>
          </cell>
          <cell r="E10">
            <v>46183</v>
          </cell>
          <cell r="H10" t="str">
            <v>Montalvo</v>
          </cell>
          <cell r="I10" t="str">
            <v>Michael</v>
          </cell>
          <cell r="J10">
            <v>46289</v>
          </cell>
          <cell r="L10" t="str">
            <v>*</v>
          </cell>
          <cell r="M10" t="str">
            <v>Autrey</v>
          </cell>
          <cell r="N10" t="str">
            <v>III,</v>
          </cell>
          <cell r="O10">
            <v>46244</v>
          </cell>
        </row>
        <row r="11">
          <cell r="B11" t="str">
            <v>*</v>
          </cell>
          <cell r="C11" t="str">
            <v>Foreman</v>
          </cell>
          <cell r="D11" t="str">
            <v>Ethan</v>
          </cell>
          <cell r="E11">
            <v>46183</v>
          </cell>
          <cell r="L11" t="str">
            <v>*</v>
          </cell>
          <cell r="M11" t="str">
            <v>Fitzpatrick</v>
          </cell>
          <cell r="N11" t="str">
            <v>Khyon</v>
          </cell>
          <cell r="O11">
            <v>46254</v>
          </cell>
        </row>
        <row r="12">
          <cell r="B12" t="str">
            <v>*</v>
          </cell>
          <cell r="C12" t="str">
            <v>Gibbs</v>
          </cell>
          <cell r="D12" t="str">
            <v>Rochuad</v>
          </cell>
          <cell r="E12">
            <v>46183</v>
          </cell>
          <cell r="L12" t="str">
            <v>*</v>
          </cell>
          <cell r="M12" t="str">
            <v>Gee.</v>
          </cell>
          <cell r="N12" t="str">
            <v>Jecal</v>
          </cell>
          <cell r="O12">
            <v>46254</v>
          </cell>
        </row>
        <row r="13">
          <cell r="B13" t="str">
            <v>*</v>
          </cell>
          <cell r="C13" t="str">
            <v>Thomas</v>
          </cell>
          <cell r="D13" t="str">
            <v>Jacorey</v>
          </cell>
          <cell r="E13">
            <v>46183</v>
          </cell>
          <cell r="M13" t="str">
            <v>Moore</v>
          </cell>
          <cell r="N13" t="str">
            <v>Kendrick</v>
          </cell>
          <cell r="O13">
            <v>46254</v>
          </cell>
        </row>
        <row r="14">
          <cell r="B14" t="str">
            <v>*</v>
          </cell>
          <cell r="C14" t="str">
            <v>Allen</v>
          </cell>
          <cell r="D14" t="str">
            <v>Isaac</v>
          </cell>
          <cell r="E14">
            <v>46183</v>
          </cell>
          <cell r="L14" t="str">
            <v>*</v>
          </cell>
          <cell r="M14" t="str">
            <v>SejourNiaave</v>
          </cell>
          <cell r="N14" t="str">
            <v>Resignation</v>
          </cell>
          <cell r="O14">
            <v>46254</v>
          </cell>
        </row>
        <row r="15">
          <cell r="B15" t="str">
            <v>*</v>
          </cell>
          <cell r="C15" t="str">
            <v>Patino</v>
          </cell>
          <cell r="D15" t="str">
            <v>Rafael</v>
          </cell>
          <cell r="E15">
            <v>46184</v>
          </cell>
          <cell r="L15" t="str">
            <v>*</v>
          </cell>
          <cell r="M15" t="str">
            <v>Spencer</v>
          </cell>
          <cell r="N15" t="str">
            <v>Tacory</v>
          </cell>
          <cell r="O15">
            <v>46254</v>
          </cell>
        </row>
        <row r="16">
          <cell r="B16" t="str">
            <v>*</v>
          </cell>
          <cell r="C16" t="str">
            <v>Arceneaux</v>
          </cell>
          <cell r="D16" t="str">
            <v>Devin</v>
          </cell>
          <cell r="E16">
            <v>46191</v>
          </cell>
          <cell r="L16" t="str">
            <v>*</v>
          </cell>
          <cell r="M16" t="str">
            <v>Hernandez</v>
          </cell>
          <cell r="N16" t="str">
            <v>Edwin</v>
          </cell>
          <cell r="O16">
            <v>46280</v>
          </cell>
        </row>
        <row r="17">
          <cell r="B17" t="str">
            <v>*</v>
          </cell>
          <cell r="C17" t="str">
            <v>Jordan</v>
          </cell>
          <cell r="D17" t="str">
            <v>Jahreese</v>
          </cell>
          <cell r="E17">
            <v>46218</v>
          </cell>
          <cell r="L17" t="str">
            <v>*</v>
          </cell>
          <cell r="M17" t="str">
            <v>Palla</v>
          </cell>
          <cell r="N17" t="str">
            <v>Jaxson</v>
          </cell>
          <cell r="O17">
            <v>46280</v>
          </cell>
        </row>
        <row r="18">
          <cell r="B18" t="str">
            <v>*</v>
          </cell>
          <cell r="C18" t="str">
            <v>Spears</v>
          </cell>
          <cell r="D18" t="str">
            <v>Axel</v>
          </cell>
          <cell r="E18">
            <v>46223</v>
          </cell>
          <cell r="M18" t="str">
            <v>Garcia</v>
          </cell>
          <cell r="N18" t="str">
            <v>Yair</v>
          </cell>
          <cell r="O18">
            <v>46289</v>
          </cell>
        </row>
        <row r="19">
          <cell r="B19" t="str">
            <v>*</v>
          </cell>
          <cell r="C19" t="str">
            <v>Curtis</v>
          </cell>
          <cell r="D19" t="str">
            <v>Tyler</v>
          </cell>
          <cell r="E19">
            <v>46224</v>
          </cell>
          <cell r="M19" t="str">
            <v>Shalilian</v>
          </cell>
          <cell r="N19" t="str">
            <v>Ida.pdf</v>
          </cell>
          <cell r="O19">
            <v>46293</v>
          </cell>
        </row>
        <row r="20">
          <cell r="B20" t="str">
            <v>*</v>
          </cell>
          <cell r="C20" t="str">
            <v>Peters</v>
          </cell>
          <cell r="D20" t="str">
            <v>Julian</v>
          </cell>
          <cell r="E20">
            <v>46224</v>
          </cell>
          <cell r="M20" t="str">
            <v>Johnson</v>
          </cell>
          <cell r="N20" t="str">
            <v>Julian.pdf</v>
          </cell>
          <cell r="O20">
            <v>46295</v>
          </cell>
        </row>
        <row r="21">
          <cell r="B21" t="str">
            <v>*</v>
          </cell>
          <cell r="C21" t="str">
            <v>Rorie</v>
          </cell>
          <cell r="D21" t="str">
            <v>Evan</v>
          </cell>
          <cell r="E21">
            <v>46224</v>
          </cell>
        </row>
        <row r="22">
          <cell r="B22" t="str">
            <v>*</v>
          </cell>
          <cell r="C22" t="str">
            <v>Jean-Bart</v>
          </cell>
          <cell r="D22" t="str">
            <v>Caiel</v>
          </cell>
          <cell r="E22">
            <v>46238</v>
          </cell>
        </row>
        <row r="23">
          <cell r="B23" t="str">
            <v>*</v>
          </cell>
          <cell r="C23" t="str">
            <v>Hubbard</v>
          </cell>
          <cell r="D23" t="str">
            <v>Nevaeh</v>
          </cell>
          <cell r="E23">
            <v>46245</v>
          </cell>
        </row>
        <row r="24">
          <cell r="B24" t="str">
            <v>*</v>
          </cell>
          <cell r="C24" t="str">
            <v>Evans</v>
          </cell>
          <cell r="D24" t="str">
            <v>William</v>
          </cell>
          <cell r="E24">
            <v>46260</v>
          </cell>
        </row>
        <row r="25">
          <cell r="B25" t="str">
            <v>*</v>
          </cell>
          <cell r="C25" t="str">
            <v>Adams</v>
          </cell>
          <cell r="D25" t="str">
            <v>Alexis</v>
          </cell>
          <cell r="E25">
            <v>46261</v>
          </cell>
        </row>
        <row r="26">
          <cell r="B26" t="str">
            <v>*</v>
          </cell>
          <cell r="C26" t="str">
            <v>Jordan</v>
          </cell>
          <cell r="D26" t="str">
            <v>Dorian</v>
          </cell>
          <cell r="E26">
            <v>46268</v>
          </cell>
        </row>
        <row r="27">
          <cell r="B27" t="str">
            <v>*</v>
          </cell>
          <cell r="C27" t="str">
            <v>Wallace</v>
          </cell>
          <cell r="D27" t="str">
            <v>Jahiem</v>
          </cell>
          <cell r="E27">
            <v>46268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36D44509-E15C-4698-B29D-25AA6B6361A6}" autoFormatId="16" applyNumberFormats="0" applyBorderFormats="0" applyFontFormats="0" applyPatternFormats="0" applyAlignmentFormats="0" applyWidthHeightFormats="0">
  <queryTableRefresh nextId="9">
    <queryTableFields count="7">
      <queryTableField id="1" name="No." tableColumnId="1"/>
      <queryTableField id="2" name="EMT Cert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1264FF22-6917-4B39-A6DE-0B337FAF2AC0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3" xr16:uid="{4B73A885-47E8-4D6F-BF05-34C8C48A0D26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4" xr16:uid="{9CFE5533-A6B4-4761-A921-21AD476EADEC}" autoFormatId="16" applyNumberFormats="0" applyBorderFormats="0" applyFontFormats="0" applyPatternFormats="0" applyAlignmentFormats="0" applyWidthHeightFormats="0">
  <queryTableRefresh nextId="16">
    <queryTableFields count="8">
      <queryTableField id="1" name="No." tableColumnId="1"/>
      <queryTableField id="10" name="EMT Cert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  <queryTableField id="15" name="Index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EC8339BC-81C0-440A-AEA0-67BEBCD6D9F3}" autoFormatId="16" applyNumberFormats="0" applyBorderFormats="0" applyFontFormats="0" applyPatternFormats="0" applyAlignmentFormats="0" applyWidthHeightFormats="0">
  <queryTableRefresh nextId="11">
    <queryTableFields count="7">
      <queryTableField id="1" name="No." tableColumnId="1"/>
      <queryTableField id="9" name="Index" tableColumnId="7"/>
      <queryTableField id="3" name="LastName" tableColumnId="3"/>
      <queryTableField id="4" name="FirstName" tableColumnId="4"/>
      <queryTableField id="2" name="PR#" tableColumnId="2"/>
      <queryTableField id="5" name="PH#" tableColumnId="5"/>
      <queryTableField id="6" name="COMMENTS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" xr16:uid="{CB6C21F1-EAF2-4026-AFAA-83AFE3B853F2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2" name="Index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E82301-66AE-428E-AFB9-FE5D0DE964C1}" name="_2026D" displayName="_2026D" ref="A2:G80" tableType="queryTable" totalsRowShown="0">
  <autoFilter ref="A2:G80" xr:uid="{B3E82301-66AE-428E-AFB9-FE5D0DE964C1}"/>
  <sortState xmlns:xlrd2="http://schemas.microsoft.com/office/spreadsheetml/2017/richdata2" ref="A3:G80">
    <sortCondition descending="1" ref="A2:A80"/>
  </sortState>
  <tableColumns count="7">
    <tableColumn id="1" xr3:uid="{B242F260-23CA-4C05-98FA-60D7EA058CBB}" uniqueName="1" name="No." queryTableFieldId="1" dataDxfId="21"/>
    <tableColumn id="2" xr3:uid="{45FDC87E-5E34-420B-931E-25AEAE6804C4}" uniqueName="2" name="EMT Cert" queryTableFieldId="2" dataDxfId="20"/>
    <tableColumn id="3" xr3:uid="{21EC025D-702C-4380-9BE5-44B5BAC597C8}" uniqueName="3" name="LastName" queryTableFieldId="3" dataDxfId="19"/>
    <tableColumn id="4" xr3:uid="{B040ABB1-46FC-45BC-B947-D92A934BE605}" uniqueName="4" name="FirstName" queryTableFieldId="4" dataDxfId="18"/>
    <tableColumn id="5" xr3:uid="{58ECE57C-DD9A-4C3F-B841-1C77C4ACEFAE}" uniqueName="5" name="PR#" queryTableFieldId="5"/>
    <tableColumn id="6" xr3:uid="{A6E8AB0E-C522-42F4-8B7E-1058FB4F5318}" uniqueName="6" name="PH#" queryTableFieldId="6"/>
    <tableColumn id="7" xr3:uid="{01AC6339-BA5F-41A3-8151-695DA6ADF1F9}" uniqueName="7" name="COMMENTS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BE16A1-5BBD-4752-9F2D-FFA66ACE0444}" name="_2026F" displayName="_2026F" ref="I2:O35" tableType="queryTable" totalsRowShown="0">
  <autoFilter ref="I2:O35" xr:uid="{53BE16A1-5BBD-4752-9F2D-FFA66ACE0444}"/>
  <tableColumns count="7">
    <tableColumn id="1" xr3:uid="{2F2D1B3E-D64E-41C6-89EF-8CA6E44E091C}" uniqueName="1" name="No." queryTableFieldId="1"/>
    <tableColumn id="7" xr3:uid="{F37FA8D0-C9FB-4501-83BC-F43F49EFDDE9}" uniqueName="7" name="EMT Cert" queryTableFieldId="7"/>
    <tableColumn id="2" xr3:uid="{84F81139-E395-4107-8EB8-3CC54076A0AC}" uniqueName="2" name="LastName" queryTableFieldId="2" dataDxfId="17"/>
    <tableColumn id="3" xr3:uid="{DEBE80A2-D0E2-4B72-9457-2D3F8B06BE67}" uniqueName="3" name="FirstName" queryTableFieldId="3" dataDxfId="16"/>
    <tableColumn id="4" xr3:uid="{7DE25B41-5AD3-45CA-A1A8-518A1234D9BE}" uniqueName="4" name="PR#" queryTableFieldId="4"/>
    <tableColumn id="5" xr3:uid="{295C6818-64FC-48A4-A888-138A1B65D84B}" uniqueName="5" name="PH#" queryTableFieldId="5" dataDxfId="15"/>
    <tableColumn id="6" xr3:uid="{8343C51D-2255-4BB1-AD84-CB86708D4BB6}" uniqueName="6" name="COMMENTS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2861D-39BB-49DD-9511-0F697B2A8E03}" name="_2026G" displayName="_2026G" ref="Q2:W27" tableType="queryTable" totalsRowShown="0">
  <autoFilter ref="Q2:W27" xr:uid="{C202861D-39BB-49DD-9511-0F697B2A8E03}"/>
  <tableColumns count="7">
    <tableColumn id="1" xr3:uid="{F2F8E52F-89AA-4CA2-BE11-8BDF9090745A}" uniqueName="1" name="No." queryTableFieldId="1"/>
    <tableColumn id="7" xr3:uid="{783C8803-C21E-4DD4-BBC6-5C0A159CD826}" uniqueName="7" name="EMT Cert" queryTableFieldId="7"/>
    <tableColumn id="2" xr3:uid="{B79826FD-AEF7-4E9D-B7E0-EE0C8A3B0737}" uniqueName="2" name="LastName" queryTableFieldId="2" dataDxfId="14"/>
    <tableColumn id="3" xr3:uid="{4548A75B-5922-4210-8B44-41E0F001E4AE}" uniqueName="3" name="FirstName" queryTableFieldId="3" dataDxfId="13"/>
    <tableColumn id="4" xr3:uid="{64EEB35A-B31A-4D9C-802F-F77289172E02}" uniqueName="4" name="PR#" queryTableFieldId="4"/>
    <tableColumn id="5" xr3:uid="{E6428637-9A91-45B7-B17C-A0203CAA47A8}" uniqueName="5" name="PH#" queryTableFieldId="5" dataDxfId="12"/>
    <tableColumn id="6" xr3:uid="{60DCB9AC-3766-4601-B8C1-8EBFACD0162F}" uniqueName="6" name="COMMENTS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5B001A-B4DF-4E77-8873-42B8B628140F}" name="_2026H" displayName="_2026H" ref="Y2:AF71" tableType="queryTable" totalsRowShown="0">
  <autoFilter ref="Y2:AF71" xr:uid="{BB5B001A-B4DF-4E77-8873-42B8B628140F}"/>
  <tableColumns count="8">
    <tableColumn id="1" xr3:uid="{B3A010EE-806C-4DE2-84F8-A018904F2CE7}" uniqueName="1" name="No." queryTableFieldId="1"/>
    <tableColumn id="7" xr3:uid="{139BCA05-4325-4475-8E79-EE860D202EB0}" uniqueName="7" name="EMT Cert" queryTableFieldId="10"/>
    <tableColumn id="2" xr3:uid="{8E43B983-BA45-42DE-89D5-7B68F70AB61C}" uniqueName="2" name="LastName" queryTableFieldId="2" dataDxfId="11"/>
    <tableColumn id="3" xr3:uid="{9671F60F-2B74-4945-83BD-A7CE274D8A14}" uniqueName="3" name="FirstName" queryTableFieldId="3" dataDxfId="10"/>
    <tableColumn id="4" xr3:uid="{91B16B92-688E-43B6-80B0-A2571419089D}" uniqueName="4" name="PR#" queryTableFieldId="4" dataDxfId="9"/>
    <tableColumn id="5" xr3:uid="{767EF261-F8E6-4FC6-B1A2-DE1EF877F9F0}" uniqueName="5" name="PH#" queryTableFieldId="5" dataDxfId="8"/>
    <tableColumn id="6" xr3:uid="{8345C464-21E9-442E-A298-5058BB1A96C8}" uniqueName="6" name="COMMENTS" queryTableFieldId="6"/>
    <tableColumn id="9" xr3:uid="{7C88174D-1235-460E-BE4E-3A9D2F5DB2AF}" uniqueName="9" name="Index" queryTableField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F4B06E-5AE6-44EC-8633-9DBDB657AF44}" name="_2026I" displayName="_2026I" ref="AH2:AN19" tableType="queryTable" totalsRowShown="0">
  <autoFilter ref="AH2:AN19" xr:uid="{34F4B06E-5AE6-44EC-8633-9DBDB657AF44}"/>
  <tableColumns count="7">
    <tableColumn id="1" xr3:uid="{11BE418F-B4ED-4B8F-8FAD-CFDACA81A08E}" uniqueName="1" name="No." queryTableFieldId="1"/>
    <tableColumn id="7" xr3:uid="{5409AE0D-D3C1-43F1-8B3E-F0A8EE0D5D90}" uniqueName="7" name="Index" queryTableFieldId="9"/>
    <tableColumn id="3" xr3:uid="{DB0A502A-0F02-43FE-BFCD-520DED916383}" uniqueName="3" name="LastName" queryTableFieldId="3" dataDxfId="7"/>
    <tableColumn id="4" xr3:uid="{CBC219DA-14C4-44B8-A922-2E8E8F142782}" uniqueName="4" name="FirstName" queryTableFieldId="4" dataDxfId="6"/>
    <tableColumn id="2" xr3:uid="{AD546692-C2C1-4085-93E8-4D6025392EE3}" uniqueName="2" name="PR#" queryTableFieldId="2" dataDxfId="0"/>
    <tableColumn id="5" xr3:uid="{15FA5808-78A5-4A8A-9A07-82CB279A5753}" uniqueName="5" name="PH#" queryTableFieldId="5"/>
    <tableColumn id="6" xr3:uid="{9870684F-AB0D-4004-9E3B-753292348603}" uniqueName="6" name="COMMENTS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3737B4-63EC-41B6-B703-C21F4AAE7723}" name="_2026J" displayName="_2026J" ref="AP2:AV30" tableType="queryTable" totalsRowShown="0">
  <autoFilter ref="AP2:AV30" xr:uid="{B83737B4-63EC-41B6-B703-C21F4AAE7723}"/>
  <tableColumns count="7">
    <tableColumn id="1" xr3:uid="{5E4A9A01-7E93-48E3-806E-8D501C8AD502}" uniqueName="1" name="No." queryTableFieldId="1"/>
    <tableColumn id="2" xr3:uid="{86440492-D5E6-404F-A6B3-2225D2C8E821}" uniqueName="2" name="Index" queryTableFieldId="2"/>
    <tableColumn id="3" xr3:uid="{5EB4605E-4846-4B54-9ED3-6F003F6139E9}" uniqueName="3" name="LastName" queryTableFieldId="3" dataDxfId="5"/>
    <tableColumn id="4" xr3:uid="{080B2D69-1036-4EF7-B304-9547E9466454}" uniqueName="4" name="FirstName" queryTableFieldId="4" dataDxfId="4"/>
    <tableColumn id="5" xr3:uid="{53651D74-2F90-4DA7-9877-14F6EF68B8D6}" uniqueName="5" name="PR#" queryTableFieldId="5" dataDxfId="1"/>
    <tableColumn id="6" xr3:uid="{4094ACD6-4E80-4E16-BE20-E48038E2DBC9}" uniqueName="6" name="PH#" queryTableFieldId="6" dataDxfId="3"/>
    <tableColumn id="7" xr3:uid="{34FBB772-6C60-4BD2-8A6D-951242051C5B}" uniqueName="7" name="COMMENTS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9F274-ED16-4541-AAB1-EC85CC05C150}">
  <sheetPr codeName="Sheet3">
    <tabColor theme="9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52</v>
      </c>
    </row>
    <row r="2" spans="3:13" ht="3.75" customHeight="1" x14ac:dyDescent="0.2"/>
    <row r="3" spans="3:13" ht="30" customHeight="1" x14ac:dyDescent="0.4">
      <c r="C3" s="67" t="s">
        <v>129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33" cm="1">
        <f t="array" ref="C6:G46">DATA!A3:E43</f>
        <v>1</v>
      </c>
      <c r="D6" s="34">
        <v>0</v>
      </c>
      <c r="E6" s="14" t="str">
        <v xml:space="preserve">Acosta 
</v>
      </c>
      <c r="F6" s="14" t="str">
        <v>Maximiliano</v>
      </c>
      <c r="G6" s="17">
        <v>184662</v>
      </c>
      <c r="H6" s="23"/>
      <c r="I6" s="33" cm="1">
        <f t="array" ref="I6:M42">DATA!A44:E80</f>
        <v>1</v>
      </c>
      <c r="J6" s="34">
        <v>0</v>
      </c>
      <c r="K6" s="14" t="str">
        <v xml:space="preserve">Ramos 
</v>
      </c>
      <c r="L6" s="14" t="str">
        <v>Angel</v>
      </c>
      <c r="M6" s="5">
        <v>184712</v>
      </c>
    </row>
    <row r="7" spans="3:13" ht="18.75" customHeight="1" x14ac:dyDescent="0.2">
      <c r="C7" s="33">
        <v>1</v>
      </c>
      <c r="D7" s="34" t="str">
        <v>*</v>
      </c>
      <c r="E7" s="14" t="str">
        <v xml:space="preserve">Allen 
</v>
      </c>
      <c r="F7" s="14" t="str">
        <v>Charles</v>
      </c>
      <c r="G7" s="17">
        <v>184664</v>
      </c>
      <c r="H7" s="23"/>
      <c r="I7" s="33">
        <v>1</v>
      </c>
      <c r="J7" s="34">
        <v>0</v>
      </c>
      <c r="K7" s="14" t="str">
        <v xml:space="preserve">Robbins 
</v>
      </c>
      <c r="L7" s="14" t="str">
        <v>Eric</v>
      </c>
      <c r="M7" s="5">
        <v>184713</v>
      </c>
    </row>
    <row r="8" spans="3:13" ht="18.75" customHeight="1" x14ac:dyDescent="0.2">
      <c r="C8" s="33">
        <v>1</v>
      </c>
      <c r="D8" s="34">
        <v>0</v>
      </c>
      <c r="E8" s="14" t="str">
        <v xml:space="preserve">Allen 
</v>
      </c>
      <c r="F8" s="14" t="str">
        <v>Floyd</v>
      </c>
      <c r="G8" s="17">
        <v>184665</v>
      </c>
      <c r="H8" s="23"/>
      <c r="I8" s="33">
        <v>1</v>
      </c>
      <c r="J8" s="34">
        <v>0</v>
      </c>
      <c r="K8" s="14" t="str">
        <v xml:space="preserve">Rocha 
</v>
      </c>
      <c r="L8" s="14" t="str">
        <v>Abel</v>
      </c>
      <c r="M8" s="5">
        <v>184714</v>
      </c>
    </row>
    <row r="9" spans="3:13" ht="18.75" customHeight="1" x14ac:dyDescent="0.2">
      <c r="C9" s="33">
        <v>1</v>
      </c>
      <c r="D9" s="34" t="str">
        <v>*</v>
      </c>
      <c r="E9" s="14" t="str">
        <v xml:space="preserve">Arzac 
</v>
      </c>
      <c r="F9" s="14" t="str">
        <v>Hugo</v>
      </c>
      <c r="G9" s="17">
        <v>184735</v>
      </c>
      <c r="H9" s="21"/>
      <c r="I9" s="33">
        <v>1</v>
      </c>
      <c r="J9" s="34">
        <v>0</v>
      </c>
      <c r="K9" s="14" t="str">
        <v xml:space="preserve">Rodriguez 
</v>
      </c>
      <c r="L9" s="14" t="str">
        <v>Miguel</v>
      </c>
      <c r="M9" s="5">
        <v>184716</v>
      </c>
    </row>
    <row r="10" spans="3:13" ht="18.75" customHeight="1" x14ac:dyDescent="0.2">
      <c r="C10" s="33">
        <v>1</v>
      </c>
      <c r="D10" s="34">
        <v>0</v>
      </c>
      <c r="E10" s="14" t="str">
        <v xml:space="preserve">Avila 
</v>
      </c>
      <c r="F10" s="14" t="str">
        <v>Sam</v>
      </c>
      <c r="G10" s="17">
        <v>184668</v>
      </c>
      <c r="H10" s="23"/>
      <c r="I10" s="33">
        <v>1</v>
      </c>
      <c r="J10" s="34" t="str">
        <v>*</v>
      </c>
      <c r="K10" s="14" t="str">
        <v xml:space="preserve">Rosales 
</v>
      </c>
      <c r="L10" s="14" t="str">
        <v>Jose</v>
      </c>
      <c r="M10" s="5">
        <v>184717</v>
      </c>
    </row>
    <row r="11" spans="3:13" ht="18.75" customHeight="1" x14ac:dyDescent="0.2">
      <c r="C11" s="33">
        <v>1</v>
      </c>
      <c r="D11" s="34">
        <v>0</v>
      </c>
      <c r="E11" s="14" t="str">
        <v xml:space="preserve">Avitia 
</v>
      </c>
      <c r="F11" s="14" t="str">
        <v>Adrian</v>
      </c>
      <c r="G11" s="17">
        <v>184669</v>
      </c>
      <c r="H11" s="23"/>
      <c r="I11" s="33">
        <v>1</v>
      </c>
      <c r="J11" s="34">
        <v>0</v>
      </c>
      <c r="K11" s="14" t="str">
        <v xml:space="preserve">Sanchez 
</v>
      </c>
      <c r="L11" s="14" t="str">
        <v>Saul</v>
      </c>
      <c r="M11" s="5">
        <v>184719</v>
      </c>
    </row>
    <row r="12" spans="3:13" ht="18.75" customHeight="1" x14ac:dyDescent="0.2">
      <c r="C12" s="33">
        <v>1</v>
      </c>
      <c r="D12" s="34">
        <v>0</v>
      </c>
      <c r="E12" s="14" t="str">
        <v xml:space="preserve">Battenfield 
</v>
      </c>
      <c r="F12" s="14" t="str">
        <v>Jacob</v>
      </c>
      <c r="G12" s="17">
        <v>184670</v>
      </c>
      <c r="H12" s="21"/>
      <c r="I12" s="33">
        <v>1</v>
      </c>
      <c r="J12" s="34">
        <v>0</v>
      </c>
      <c r="K12" s="14" t="str">
        <v xml:space="preserve">Santana 
</v>
      </c>
      <c r="L12" s="14" t="str">
        <v>Juan</v>
      </c>
      <c r="M12" s="5">
        <v>184720</v>
      </c>
    </row>
    <row r="13" spans="3:13" ht="18.75" customHeight="1" x14ac:dyDescent="0.2">
      <c r="C13" s="33">
        <v>1</v>
      </c>
      <c r="D13" s="34" t="str">
        <v>*</v>
      </c>
      <c r="E13" s="14" t="str">
        <v xml:space="preserve">Blanton 
</v>
      </c>
      <c r="F13" s="14" t="str">
        <v>Maeamour</v>
      </c>
      <c r="G13" s="17">
        <v>180532</v>
      </c>
      <c r="H13" s="23"/>
      <c r="I13" s="33">
        <v>1</v>
      </c>
      <c r="J13" s="34">
        <v>0</v>
      </c>
      <c r="K13" s="14" t="str">
        <v xml:space="preserve">Tapp 
</v>
      </c>
      <c r="L13" s="14" t="str">
        <v>Luke</v>
      </c>
      <c r="M13" s="5">
        <v>184733</v>
      </c>
    </row>
    <row r="14" spans="3:13" ht="18.75" customHeight="1" x14ac:dyDescent="0.2">
      <c r="C14" s="33">
        <v>1</v>
      </c>
      <c r="D14" s="34">
        <v>0</v>
      </c>
      <c r="E14" s="14" t="str">
        <v xml:space="preserve">Branch 
</v>
      </c>
      <c r="F14" s="14" t="str">
        <v>John</v>
      </c>
      <c r="G14" s="17">
        <v>184730</v>
      </c>
      <c r="H14" s="23"/>
      <c r="I14" s="33">
        <v>1</v>
      </c>
      <c r="J14" s="34" t="str">
        <v>*</v>
      </c>
      <c r="K14" s="14" t="str">
        <v xml:space="preserve">Tran 
</v>
      </c>
      <c r="L14" s="14" t="str">
        <v>Vu</v>
      </c>
      <c r="M14" s="5">
        <v>184724</v>
      </c>
    </row>
    <row r="15" spans="3:13" ht="18.75" customHeight="1" x14ac:dyDescent="0.2">
      <c r="C15" s="33">
        <v>1</v>
      </c>
      <c r="D15" s="34" t="str">
        <v>*</v>
      </c>
      <c r="E15" s="14" t="str">
        <v xml:space="preserve">Braunersreuther 
</v>
      </c>
      <c r="F15" s="14" t="str">
        <v>Andrew</v>
      </c>
      <c r="G15" s="17">
        <v>182490</v>
      </c>
      <c r="H15" s="23"/>
      <c r="I15" s="33">
        <v>1</v>
      </c>
      <c r="J15" s="34">
        <v>0</v>
      </c>
      <c r="K15" s="14" t="str">
        <v xml:space="preserve">Vasquez 
</v>
      </c>
      <c r="L15" s="14" t="str">
        <v>Eduardo</v>
      </c>
      <c r="M15" s="5">
        <v>184744</v>
      </c>
    </row>
    <row r="16" spans="3:13" ht="18.75" customHeight="1" x14ac:dyDescent="0.2">
      <c r="C16" s="33">
        <v>1</v>
      </c>
      <c r="D16" s="34">
        <v>0</v>
      </c>
      <c r="E16" s="14" t="str">
        <v xml:space="preserve">Brown 
</v>
      </c>
      <c r="F16" s="14" t="str">
        <v>Ezra</v>
      </c>
      <c r="G16" s="17">
        <v>184672</v>
      </c>
      <c r="H16" s="21"/>
      <c r="I16" s="33">
        <v>1</v>
      </c>
      <c r="J16" s="34">
        <v>0</v>
      </c>
      <c r="K16" s="14" t="str">
        <v xml:space="preserve">Velasquez 
</v>
      </c>
      <c r="L16" s="14" t="str">
        <v>Jose</v>
      </c>
      <c r="M16" s="5">
        <v>184725</v>
      </c>
    </row>
    <row r="17" spans="3:13" ht="18.75" customHeight="1" x14ac:dyDescent="0.2">
      <c r="C17" s="33">
        <v>1</v>
      </c>
      <c r="D17" s="34">
        <v>0</v>
      </c>
      <c r="E17" s="14" t="str">
        <v xml:space="preserve">Castillo 
</v>
      </c>
      <c r="F17" s="14" t="str">
        <v>Eduardo</v>
      </c>
      <c r="G17" s="17">
        <v>184673</v>
      </c>
      <c r="H17" s="23"/>
      <c r="I17" s="33">
        <v>0</v>
      </c>
      <c r="J17" s="34">
        <v>0</v>
      </c>
      <c r="K17" s="14" t="str">
        <v xml:space="preserve">Adams 
</v>
      </c>
      <c r="L17" s="14" t="str">
        <v>Alexis</v>
      </c>
      <c r="M17" s="5">
        <v>184663</v>
      </c>
    </row>
    <row r="18" spans="3:13" ht="18.75" customHeight="1" x14ac:dyDescent="0.2">
      <c r="C18" s="33">
        <v>1</v>
      </c>
      <c r="D18" s="34">
        <v>0</v>
      </c>
      <c r="E18" s="14" t="str">
        <v xml:space="preserve">Cochran 
</v>
      </c>
      <c r="F18" s="14" t="str">
        <v>Jhacobe</v>
      </c>
      <c r="G18" s="17">
        <v>184675</v>
      </c>
      <c r="H18" s="23"/>
      <c r="I18" s="33">
        <v>0</v>
      </c>
      <c r="J18" s="34">
        <v>0</v>
      </c>
      <c r="K18" s="14" t="str">
        <v xml:space="preserve">Adkins 
</v>
      </c>
      <c r="L18" s="14" t="str">
        <v>Seth</v>
      </c>
      <c r="M18" s="5">
        <v>184745</v>
      </c>
    </row>
    <row r="19" spans="3:13" ht="18.75" customHeight="1" x14ac:dyDescent="0.2">
      <c r="C19" s="33">
        <v>1</v>
      </c>
      <c r="D19" s="34">
        <v>0</v>
      </c>
      <c r="E19" s="14" t="str">
        <v xml:space="preserve">Coleman 
</v>
      </c>
      <c r="F19" s="14" t="str">
        <v>Kevin</v>
      </c>
      <c r="G19" s="17">
        <v>184676</v>
      </c>
      <c r="H19" s="23"/>
      <c r="I19" s="33">
        <v>0</v>
      </c>
      <c r="J19" s="34">
        <v>0</v>
      </c>
      <c r="K19" s="14" t="str">
        <v xml:space="preserve">Allen 
</v>
      </c>
      <c r="L19" s="14" t="str">
        <v>Isaac</v>
      </c>
      <c r="M19" s="5">
        <v>184729</v>
      </c>
    </row>
    <row r="20" spans="3:13" ht="18.75" customHeight="1" x14ac:dyDescent="0.2">
      <c r="C20" s="33">
        <v>1</v>
      </c>
      <c r="D20" s="34">
        <v>0</v>
      </c>
      <c r="E20" s="14" t="str">
        <v xml:space="preserve">Colon 
</v>
      </c>
      <c r="F20" s="14" t="str">
        <v>Jeremy</v>
      </c>
      <c r="G20" s="17">
        <v>184677</v>
      </c>
      <c r="H20" s="23"/>
      <c r="I20" s="33">
        <v>0</v>
      </c>
      <c r="J20" s="34">
        <v>0</v>
      </c>
      <c r="K20" s="14" t="str">
        <v xml:space="preserve">Andrade 
</v>
      </c>
      <c r="L20" s="14" t="str">
        <v>Cristian</v>
      </c>
      <c r="M20" s="5">
        <v>184666</v>
      </c>
    </row>
    <row r="21" spans="3:13" ht="18.75" customHeight="1" x14ac:dyDescent="0.2">
      <c r="C21" s="33">
        <v>1</v>
      </c>
      <c r="D21" s="34">
        <v>0</v>
      </c>
      <c r="E21" s="14" t="str">
        <v xml:space="preserve">Creer 
</v>
      </c>
      <c r="F21" s="14" t="str">
        <v>King</v>
      </c>
      <c r="G21" s="17">
        <v>184678</v>
      </c>
      <c r="H21" s="23"/>
      <c r="I21" s="33">
        <v>0</v>
      </c>
      <c r="J21" s="34">
        <v>0</v>
      </c>
      <c r="K21" s="14" t="str">
        <v xml:space="preserve">Arceneaux 
</v>
      </c>
      <c r="L21" s="14" t="str">
        <v>Devin</v>
      </c>
      <c r="M21" s="5">
        <v>184667</v>
      </c>
    </row>
    <row r="22" spans="3:13" ht="18.75" customHeight="1" x14ac:dyDescent="0.2">
      <c r="C22" s="33">
        <v>1</v>
      </c>
      <c r="D22" s="34">
        <v>0</v>
      </c>
      <c r="E22" s="14" t="str">
        <v xml:space="preserve">Dodds 
</v>
      </c>
      <c r="F22" s="14" t="str">
        <v>Rashad</v>
      </c>
      <c r="G22" s="17">
        <v>184679</v>
      </c>
      <c r="H22" s="23"/>
      <c r="I22" s="33">
        <v>0</v>
      </c>
      <c r="J22" s="34">
        <v>0</v>
      </c>
      <c r="K22" s="14" t="str">
        <v xml:space="preserve">Boettcher 
</v>
      </c>
      <c r="L22" s="14" t="str">
        <v>Cleo</v>
      </c>
      <c r="M22" s="5">
        <v>184671</v>
      </c>
    </row>
    <row r="23" spans="3:13" ht="18.75" customHeight="1" x14ac:dyDescent="0.2">
      <c r="C23" s="33">
        <v>1</v>
      </c>
      <c r="D23" s="34">
        <v>0</v>
      </c>
      <c r="E23" s="14" t="str">
        <v xml:space="preserve">Dominguez 
</v>
      </c>
      <c r="F23" s="14" t="str">
        <v>Jorge</v>
      </c>
      <c r="G23" s="17">
        <v>184680</v>
      </c>
      <c r="H23" s="21"/>
      <c r="I23" s="33">
        <v>0</v>
      </c>
      <c r="J23" s="34">
        <v>0</v>
      </c>
      <c r="K23" s="14" t="str">
        <v xml:space="preserve">Chavez 
</v>
      </c>
      <c r="L23" s="14" t="str">
        <v>Alexis</v>
      </c>
      <c r="M23" s="5">
        <v>184674</v>
      </c>
    </row>
    <row r="24" spans="3:13" ht="18.75" customHeight="1" x14ac:dyDescent="0.2">
      <c r="C24" s="33">
        <v>1</v>
      </c>
      <c r="D24" s="34" t="str">
        <v>*</v>
      </c>
      <c r="E24" s="14" t="str">
        <v xml:space="preserve">Edwards 
</v>
      </c>
      <c r="F24" s="14" t="str">
        <v>Kenyard</v>
      </c>
      <c r="G24" s="17">
        <v>184731</v>
      </c>
      <c r="H24" s="23"/>
      <c r="I24" s="33">
        <v>0</v>
      </c>
      <c r="J24" s="34">
        <v>0</v>
      </c>
      <c r="K24" s="14" t="str">
        <v xml:space="preserve">Curtis 
</v>
      </c>
      <c r="L24" s="14" t="str">
        <v>Tyler</v>
      </c>
      <c r="M24" s="5">
        <v>184742</v>
      </c>
    </row>
    <row r="25" spans="3:13" ht="18.75" customHeight="1" x14ac:dyDescent="0.2">
      <c r="C25" s="33">
        <v>1</v>
      </c>
      <c r="D25" s="34">
        <v>0</v>
      </c>
      <c r="E25" s="14" t="str">
        <v xml:space="preserve">Edwards 
</v>
      </c>
      <c r="F25" s="14" t="str">
        <v>Garret</v>
      </c>
      <c r="G25" s="17">
        <v>184741</v>
      </c>
      <c r="H25" s="23"/>
      <c r="I25" s="33">
        <v>0</v>
      </c>
      <c r="J25" s="34">
        <v>0</v>
      </c>
      <c r="K25" s="14" t="str">
        <v xml:space="preserve">Evans 
</v>
      </c>
      <c r="L25" s="14" t="str">
        <v>William</v>
      </c>
      <c r="M25" s="5">
        <v>184743</v>
      </c>
    </row>
    <row r="26" spans="3:13" ht="18.75" customHeight="1" x14ac:dyDescent="0.2">
      <c r="C26" s="33">
        <v>1</v>
      </c>
      <c r="D26" s="34">
        <v>0</v>
      </c>
      <c r="E26" s="14" t="str">
        <v xml:space="preserve">Elliott 
</v>
      </c>
      <c r="F26" s="14" t="str">
        <v>Seven</v>
      </c>
      <c r="G26" s="17">
        <v>184681</v>
      </c>
      <c r="H26" s="23"/>
      <c r="I26" s="33">
        <v>0</v>
      </c>
      <c r="J26" s="34">
        <v>0</v>
      </c>
      <c r="K26" s="14" t="str">
        <v xml:space="preserve">Fabiyi 
</v>
      </c>
      <c r="L26" s="14" t="str">
        <v>Elijah</v>
      </c>
      <c r="M26" s="5">
        <v>181364</v>
      </c>
    </row>
    <row r="27" spans="3:13" ht="18.75" customHeight="1" x14ac:dyDescent="0.2">
      <c r="C27" s="33">
        <v>1</v>
      </c>
      <c r="D27" s="34" t="str">
        <v>*</v>
      </c>
      <c r="E27" s="14" t="str">
        <v xml:space="preserve">Espinoza 
</v>
      </c>
      <c r="F27" s="14" t="str">
        <v>Kevin</v>
      </c>
      <c r="G27" s="17">
        <v>184682</v>
      </c>
      <c r="H27" s="23"/>
      <c r="I27" s="33">
        <v>0</v>
      </c>
      <c r="J27" s="34">
        <v>0</v>
      </c>
      <c r="K27" s="14" t="str">
        <v xml:space="preserve">Foreman 
</v>
      </c>
      <c r="L27" s="14" t="str">
        <v>Ethan</v>
      </c>
      <c r="M27" s="5">
        <v>184683</v>
      </c>
    </row>
    <row r="28" spans="3:13" ht="18.75" customHeight="1" x14ac:dyDescent="0.2">
      <c r="C28" s="33">
        <v>1</v>
      </c>
      <c r="D28" s="34">
        <v>0</v>
      </c>
      <c r="E28" s="14" t="str">
        <v xml:space="preserve">Gomez 
</v>
      </c>
      <c r="F28" s="14" t="str">
        <v>Lukas</v>
      </c>
      <c r="G28" s="17">
        <v>184732</v>
      </c>
      <c r="H28" s="23"/>
      <c r="I28" s="33">
        <v>0</v>
      </c>
      <c r="J28" s="34">
        <v>0</v>
      </c>
      <c r="K28" s="14" t="str">
        <v xml:space="preserve">Gibbs 
</v>
      </c>
      <c r="L28" s="14" t="str">
        <v>Rochuad</v>
      </c>
      <c r="M28" s="5">
        <v>184684</v>
      </c>
    </row>
    <row r="29" spans="3:13" ht="18.75" customHeight="1" x14ac:dyDescent="0.2">
      <c r="C29" s="33">
        <v>1</v>
      </c>
      <c r="D29" s="34" t="str">
        <v>*</v>
      </c>
      <c r="E29" s="14" t="str">
        <v xml:space="preserve">Gomez 
</v>
      </c>
      <c r="F29" s="14" t="str">
        <v>Isaii</v>
      </c>
      <c r="G29" s="17">
        <v>184685</v>
      </c>
      <c r="H29" s="23"/>
      <c r="I29" s="33">
        <v>0</v>
      </c>
      <c r="J29" s="34" t="str">
        <v>*</v>
      </c>
      <c r="K29" s="14" t="str">
        <v xml:space="preserve">Hubbard 
</v>
      </c>
      <c r="L29" s="14" t="str">
        <v>Nevaeh</v>
      </c>
      <c r="M29" s="5">
        <v>184691</v>
      </c>
    </row>
    <row r="30" spans="3:13" ht="18.75" customHeight="1" x14ac:dyDescent="0.2">
      <c r="C30" s="33">
        <v>1</v>
      </c>
      <c r="D30" s="34">
        <v>0</v>
      </c>
      <c r="E30" s="14" t="str">
        <v xml:space="preserve">Harper 
</v>
      </c>
      <c r="F30" s="14" t="str">
        <v>Jayston</v>
      </c>
      <c r="G30" s="17">
        <v>184686</v>
      </c>
      <c r="H30" s="23"/>
      <c r="I30" s="33">
        <v>0</v>
      </c>
      <c r="J30" s="34">
        <v>0</v>
      </c>
      <c r="K30" s="14" t="str">
        <v xml:space="preserve">Jean-Bart 
</v>
      </c>
      <c r="L30" s="14" t="str">
        <v>Caiel</v>
      </c>
      <c r="M30" s="5">
        <v>184692</v>
      </c>
    </row>
    <row r="31" spans="3:13" ht="18.75" customHeight="1" x14ac:dyDescent="0.2">
      <c r="C31" s="33">
        <v>1</v>
      </c>
      <c r="D31" s="34" t="str">
        <v>*</v>
      </c>
      <c r="E31" s="14" t="str">
        <v xml:space="preserve">Heefner 
</v>
      </c>
      <c r="F31" s="14" t="str">
        <v>Jacob</v>
      </c>
      <c r="G31" s="17">
        <v>183139</v>
      </c>
      <c r="H31" s="23"/>
      <c r="I31" s="33">
        <v>0</v>
      </c>
      <c r="J31" s="34">
        <v>0</v>
      </c>
      <c r="K31" s="14" t="str">
        <v xml:space="preserve">Jordan 
</v>
      </c>
      <c r="L31" s="14" t="str">
        <v>Jahreese</v>
      </c>
      <c r="M31" s="5">
        <v>184694</v>
      </c>
    </row>
    <row r="32" spans="3:13" ht="18.75" customHeight="1" x14ac:dyDescent="0.2">
      <c r="C32" s="33">
        <v>1</v>
      </c>
      <c r="D32" s="34">
        <v>0</v>
      </c>
      <c r="E32" s="14" t="str">
        <v xml:space="preserve">Hilliard 
</v>
      </c>
      <c r="F32" s="14" t="str">
        <v>Erique</v>
      </c>
      <c r="G32" s="17">
        <v>184690</v>
      </c>
      <c r="H32" s="23"/>
      <c r="I32" s="33">
        <v>0</v>
      </c>
      <c r="J32" s="34" t="str">
        <v>*</v>
      </c>
      <c r="K32" s="14" t="str">
        <v xml:space="preserve">Jordan 
</v>
      </c>
      <c r="L32" s="14" t="str">
        <v>Dorian</v>
      </c>
      <c r="M32" s="5">
        <v>184693</v>
      </c>
    </row>
    <row r="33" spans="3:13" ht="18.75" customHeight="1" x14ac:dyDescent="0.2">
      <c r="C33" s="33">
        <v>1</v>
      </c>
      <c r="D33" s="34">
        <v>0</v>
      </c>
      <c r="E33" s="14" t="str">
        <v xml:space="preserve">Johnson 
</v>
      </c>
      <c r="F33" s="14" t="str">
        <v>La'andre</v>
      </c>
      <c r="G33" s="17">
        <v>176883</v>
      </c>
      <c r="H33" s="23"/>
      <c r="I33" s="33">
        <v>0</v>
      </c>
      <c r="J33" s="34" t="str">
        <v>*</v>
      </c>
      <c r="K33" s="14" t="str">
        <v xml:space="preserve">McDonald 
</v>
      </c>
      <c r="L33" s="14" t="str">
        <v>Tevin</v>
      </c>
      <c r="M33" s="5">
        <v>184698</v>
      </c>
    </row>
    <row r="34" spans="3:13" ht="18.75" customHeight="1" x14ac:dyDescent="0.2">
      <c r="C34" s="33">
        <v>1</v>
      </c>
      <c r="D34" s="34" t="str">
        <v>*</v>
      </c>
      <c r="E34" s="14" t="str">
        <v xml:space="preserve">Macias 
</v>
      </c>
      <c r="F34" s="14" t="str">
        <v>Sebastian</v>
      </c>
      <c r="G34" s="17">
        <v>184695</v>
      </c>
      <c r="H34" s="23"/>
      <c r="I34" s="33">
        <v>0</v>
      </c>
      <c r="J34" s="34">
        <v>0</v>
      </c>
      <c r="K34" s="14" t="str">
        <v xml:space="preserve">Patino 
</v>
      </c>
      <c r="L34" s="14" t="str">
        <v>Rafael</v>
      </c>
      <c r="M34" s="5">
        <v>184707</v>
      </c>
    </row>
    <row r="35" spans="3:13" ht="18.75" customHeight="1" x14ac:dyDescent="0.2">
      <c r="C35" s="33">
        <v>1</v>
      </c>
      <c r="D35" s="34">
        <v>0</v>
      </c>
      <c r="E35" s="14" t="str">
        <v xml:space="preserve">Marks 
</v>
      </c>
      <c r="F35" s="14" t="str">
        <v>Dominic</v>
      </c>
      <c r="G35" s="17">
        <v>184697</v>
      </c>
      <c r="H35" s="23"/>
      <c r="I35" s="33">
        <v>0</v>
      </c>
      <c r="J35" s="34">
        <v>0</v>
      </c>
      <c r="K35" s="14" t="str">
        <v xml:space="preserve">Perez 
</v>
      </c>
      <c r="L35" s="14" t="str">
        <v>Yesenia</v>
      </c>
      <c r="M35" s="5">
        <v>184709</v>
      </c>
    </row>
    <row r="36" spans="3:13" ht="18.75" customHeight="1" x14ac:dyDescent="0.2">
      <c r="C36" s="33">
        <v>1</v>
      </c>
      <c r="D36" s="34">
        <v>0</v>
      </c>
      <c r="E36" s="14" t="str">
        <v xml:space="preserve">Mckenzie 
</v>
      </c>
      <c r="F36" s="14" t="str">
        <v>Jhordan</v>
      </c>
      <c r="G36" s="17">
        <v>175403</v>
      </c>
      <c r="H36" s="23"/>
      <c r="I36" s="33">
        <v>0</v>
      </c>
      <c r="J36" s="34" t="str">
        <v>*</v>
      </c>
      <c r="K36" s="14" t="str">
        <v xml:space="preserve">Peters 
</v>
      </c>
      <c r="L36" s="14" t="str">
        <v>Julian</v>
      </c>
      <c r="M36" s="5">
        <v>184711</v>
      </c>
    </row>
    <row r="37" spans="3:13" ht="18.75" customHeight="1" x14ac:dyDescent="0.2">
      <c r="C37" s="33">
        <v>1</v>
      </c>
      <c r="D37" s="34">
        <v>0</v>
      </c>
      <c r="E37" s="14" t="str">
        <v xml:space="preserve">Menefee 
</v>
      </c>
      <c r="F37" s="14" t="str">
        <v>Jesse</v>
      </c>
      <c r="G37" s="17">
        <v>184699</v>
      </c>
      <c r="H37" s="23"/>
      <c r="I37" s="33">
        <v>0</v>
      </c>
      <c r="J37" s="34" t="str">
        <v>*</v>
      </c>
      <c r="K37" s="14" t="str">
        <v xml:space="preserve">Rorie 
</v>
      </c>
      <c r="L37" s="14" t="str">
        <v>Evan</v>
      </c>
      <c r="M37" s="5">
        <v>184734</v>
      </c>
    </row>
    <row r="38" spans="3:13" ht="18.75" customHeight="1" x14ac:dyDescent="0.2">
      <c r="C38" s="33">
        <v>1</v>
      </c>
      <c r="D38" s="34">
        <v>0</v>
      </c>
      <c r="E38" s="14" t="str">
        <v xml:space="preserve">Meraz 
</v>
      </c>
      <c r="F38" s="14" t="str">
        <v>Jacob</v>
      </c>
      <c r="G38" s="17">
        <v>184700</v>
      </c>
      <c r="H38" s="23"/>
      <c r="I38" s="33">
        <v>0</v>
      </c>
      <c r="J38" s="34">
        <v>0</v>
      </c>
      <c r="K38" s="14" t="str">
        <v xml:space="preserve">Rugley 
</v>
      </c>
      <c r="L38" s="14" t="str">
        <v>Malik</v>
      </c>
      <c r="M38" s="5">
        <v>184718</v>
      </c>
    </row>
    <row r="39" spans="3:13" ht="18.75" customHeight="1" x14ac:dyDescent="0.2">
      <c r="C39" s="33">
        <v>1</v>
      </c>
      <c r="D39" s="34">
        <v>0</v>
      </c>
      <c r="E39" s="14" t="str">
        <v xml:space="preserve">Morrow 
</v>
      </c>
      <c r="F39" s="14" t="str">
        <v>Jillian</v>
      </c>
      <c r="G39" s="17">
        <v>184701</v>
      </c>
      <c r="H39" s="23"/>
      <c r="I39" s="33">
        <v>0</v>
      </c>
      <c r="J39" s="34">
        <v>0</v>
      </c>
      <c r="K39" s="14" t="str">
        <v xml:space="preserve">Saucedo 
</v>
      </c>
      <c r="L39" s="14" t="str">
        <v>Christopher</v>
      </c>
      <c r="M39" s="5">
        <v>184721</v>
      </c>
    </row>
    <row r="40" spans="3:13" ht="18.75" customHeight="1" x14ac:dyDescent="0.2">
      <c r="C40" s="33">
        <v>1</v>
      </c>
      <c r="D40" s="34">
        <v>0</v>
      </c>
      <c r="E40" s="14" t="str">
        <v xml:space="preserve">Muro 
</v>
      </c>
      <c r="F40" s="14" t="str">
        <v>Nicholas</v>
      </c>
      <c r="G40" s="17">
        <v>184702</v>
      </c>
      <c r="H40" s="23"/>
      <c r="I40" s="33">
        <v>0</v>
      </c>
      <c r="J40" s="34">
        <v>0</v>
      </c>
      <c r="K40" s="14" t="str">
        <v xml:space="preserve">Spears 
</v>
      </c>
      <c r="L40" s="14" t="str">
        <v>Axel</v>
      </c>
      <c r="M40" s="5">
        <v>184722</v>
      </c>
    </row>
    <row r="41" spans="3:13" ht="18.75" customHeight="1" x14ac:dyDescent="0.2">
      <c r="C41" s="33">
        <v>1</v>
      </c>
      <c r="D41" s="34">
        <v>0</v>
      </c>
      <c r="E41" s="14" t="str">
        <v xml:space="preserve">Ochoa 
</v>
      </c>
      <c r="F41" s="14" t="str">
        <v>Phillip</v>
      </c>
      <c r="G41" s="17">
        <v>184703</v>
      </c>
      <c r="H41" s="23"/>
      <c r="I41" s="33">
        <v>0</v>
      </c>
      <c r="J41" s="34">
        <v>0</v>
      </c>
      <c r="K41" s="14" t="str">
        <v xml:space="preserve">Thomas 
</v>
      </c>
      <c r="L41" s="14" t="str">
        <v>Jacorey</v>
      </c>
      <c r="M41" s="5">
        <v>184723</v>
      </c>
    </row>
    <row r="42" spans="3:13" ht="18.75" customHeight="1" x14ac:dyDescent="0.2">
      <c r="C42" s="33">
        <v>1</v>
      </c>
      <c r="D42" s="34">
        <v>0</v>
      </c>
      <c r="E42" s="14" t="str">
        <v xml:space="preserve">Ortiz 
</v>
      </c>
      <c r="F42" s="14" t="str">
        <v>Gabriel</v>
      </c>
      <c r="G42" s="17">
        <v>184704</v>
      </c>
      <c r="H42" s="23"/>
      <c r="I42" s="33">
        <v>0</v>
      </c>
      <c r="J42" s="34" t="str">
        <v>*</v>
      </c>
      <c r="K42" s="14" t="str">
        <v xml:space="preserve">Wallace 
</v>
      </c>
      <c r="L42" s="14" t="str">
        <v>Jahiem</v>
      </c>
      <c r="M42" s="5">
        <v>184740</v>
      </c>
    </row>
    <row r="43" spans="3:13" ht="18.75" customHeight="1" x14ac:dyDescent="0.2">
      <c r="C43" s="33">
        <v>1</v>
      </c>
      <c r="D43" s="34">
        <v>0</v>
      </c>
      <c r="E43" s="14" t="str">
        <v xml:space="preserve">Overbey 
</v>
      </c>
      <c r="F43" s="14" t="str">
        <v>Zachary</v>
      </c>
      <c r="G43" s="17">
        <v>184705</v>
      </c>
      <c r="H43" s="23"/>
      <c r="I43" s="33"/>
      <c r="J43" s="34"/>
      <c r="K43" s="14"/>
      <c r="L43" s="14"/>
      <c r="M43" s="5"/>
    </row>
    <row r="44" spans="3:13" ht="18.75" customHeight="1" x14ac:dyDescent="0.2">
      <c r="C44" s="33">
        <v>1</v>
      </c>
      <c r="D44" s="35">
        <v>0</v>
      </c>
      <c r="E44" s="26" t="str">
        <v xml:space="preserve">Owens-Clemons 
</v>
      </c>
      <c r="F44" s="26" t="str">
        <v>Cameron</v>
      </c>
      <c r="G44" s="27">
        <v>184706</v>
      </c>
      <c r="H44" s="23"/>
      <c r="I44" s="37"/>
      <c r="J44" s="35"/>
      <c r="K44" s="26"/>
      <c r="L44" s="26"/>
      <c r="M44" s="6"/>
    </row>
    <row r="45" spans="3:13" ht="18.75" customHeight="1" x14ac:dyDescent="0.2">
      <c r="C45" s="33">
        <v>1</v>
      </c>
      <c r="D45" s="36">
        <v>0</v>
      </c>
      <c r="E45" s="4" t="str">
        <v xml:space="preserve">Payton 
</v>
      </c>
      <c r="F45" s="4" t="str">
        <v>Ryan</v>
      </c>
      <c r="G45" s="5">
        <v>184708</v>
      </c>
      <c r="H45" s="23"/>
      <c r="I45" s="33"/>
      <c r="J45" s="36"/>
      <c r="K45" s="4"/>
      <c r="L45" s="4"/>
      <c r="M45" s="5"/>
    </row>
    <row r="46" spans="3:13" ht="18.75" customHeight="1" x14ac:dyDescent="0.2">
      <c r="C46" s="33">
        <v>1</v>
      </c>
      <c r="D46" s="36" t="str">
        <v>*</v>
      </c>
      <c r="E46" s="4" t="str">
        <v xml:space="preserve">Perine 
</v>
      </c>
      <c r="F46" s="4" t="str">
        <v>Coby</v>
      </c>
      <c r="G46" s="5">
        <v>184710</v>
      </c>
      <c r="H46" s="23"/>
      <c r="I46" s="33"/>
      <c r="J46" s="36"/>
      <c r="K46" s="4"/>
      <c r="L46" s="4"/>
      <c r="M46" s="5"/>
    </row>
    <row r="47" spans="3:13" ht="18.75" customHeight="1" x14ac:dyDescent="0.2">
      <c r="C47" s="33"/>
      <c r="D47" s="36"/>
      <c r="E47" s="4"/>
      <c r="F47" s="4"/>
      <c r="G47" s="5"/>
      <c r="H47" s="23"/>
      <c r="I47" s="33"/>
      <c r="J47" s="36"/>
      <c r="K47" s="4"/>
      <c r="L47" s="4"/>
      <c r="M47" s="5"/>
    </row>
    <row r="48" spans="3:13" ht="18.75" customHeight="1" x14ac:dyDescent="0.2">
      <c r="M48" s="3">
        <f>SUM(C6:C47,I6:I47)</f>
        <v>52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37" priority="6">
      <formula>$C6=0</formula>
    </cfRule>
  </conditionalFormatting>
  <conditionalFormatting sqref="K6:M47">
    <cfRule type="expression" dxfId="36" priority="1">
      <formula>$M6=184696</formula>
    </cfRule>
    <cfRule type="expression" dxfId="35" priority="4">
      <formula>$I6=0</formula>
    </cfRule>
  </conditionalFormatting>
  <conditionalFormatting sqref="C6:D47">
    <cfRule type="expression" dxfId="34" priority="3">
      <formula>$D6="*"</formula>
    </cfRule>
  </conditionalFormatting>
  <conditionalFormatting sqref="I6:J47">
    <cfRule type="expression" dxfId="33" priority="2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06AC5-BB29-47BD-8D2A-E6B1E38CEC04}">
  <sheetPr codeName="Sheet12">
    <tabColor theme="0" tint="-0.249977111117893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33" sqref="M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15</v>
      </c>
    </row>
    <row r="2" spans="3:13" ht="3.75" customHeight="1" x14ac:dyDescent="0.2"/>
    <row r="3" spans="3:13" ht="30" customHeight="1" x14ac:dyDescent="0.4">
      <c r="C3" s="70" t="s">
        <v>358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 cm="1">
        <f t="array" ref="C6:G20">_xlfn._xlws.FILTER(_2026G[[No.]:[PR'#]],_2026G[No.]=1)</f>
        <v>1</v>
      </c>
      <c r="D6" s="25">
        <v>0</v>
      </c>
      <c r="E6" s="14" t="str">
        <v xml:space="preserve">Barnes 
</v>
      </c>
      <c r="F6" s="14" t="str">
        <v>Isaiah</v>
      </c>
      <c r="G6" s="17">
        <v>185416</v>
      </c>
      <c r="H6" s="23"/>
      <c r="I6" s="14"/>
      <c r="J6" s="22"/>
      <c r="K6" s="14"/>
      <c r="L6" s="14"/>
      <c r="M6" s="5"/>
    </row>
    <row r="7" spans="3:13" ht="18.75" customHeight="1" x14ac:dyDescent="0.2">
      <c r="C7" s="24">
        <v>1</v>
      </c>
      <c r="D7" s="25">
        <v>0</v>
      </c>
      <c r="E7" s="14" t="str">
        <v xml:space="preserve">Behringer 
</v>
      </c>
      <c r="F7" s="14" t="str">
        <v>Joseph</v>
      </c>
      <c r="G7" s="17">
        <v>185528</v>
      </c>
      <c r="H7" s="23"/>
      <c r="I7" s="14"/>
      <c r="J7" s="22"/>
      <c r="K7" s="14"/>
      <c r="L7" s="14"/>
      <c r="M7" s="5"/>
    </row>
    <row r="8" spans="3:13" ht="18.75" customHeight="1" x14ac:dyDescent="0.2">
      <c r="C8" s="24">
        <v>1</v>
      </c>
      <c r="D8" s="25">
        <v>0</v>
      </c>
      <c r="E8" s="14" t="str">
        <v xml:space="preserve">Bernal 
</v>
      </c>
      <c r="F8" s="14" t="str">
        <v>Manuel</v>
      </c>
      <c r="G8" s="17">
        <v>185418</v>
      </c>
      <c r="H8" s="23"/>
      <c r="I8" s="14"/>
      <c r="J8" s="22"/>
      <c r="K8" s="14"/>
      <c r="L8" s="14"/>
      <c r="M8" s="5"/>
    </row>
    <row r="9" spans="3:13" ht="18.75" customHeight="1" x14ac:dyDescent="0.2">
      <c r="C9" s="24">
        <v>1</v>
      </c>
      <c r="D9" s="25">
        <v>0</v>
      </c>
      <c r="E9" s="14" t="str">
        <v xml:space="preserve">Bolden 
</v>
      </c>
      <c r="F9" s="14" t="str">
        <v>Tyler</v>
      </c>
      <c r="G9" s="17">
        <v>185421</v>
      </c>
      <c r="H9" s="21"/>
      <c r="I9" s="14"/>
      <c r="J9" s="22"/>
      <c r="K9" s="14"/>
      <c r="L9" s="14"/>
      <c r="M9" s="5"/>
    </row>
    <row r="10" spans="3:13" ht="18.75" customHeight="1" x14ac:dyDescent="0.2">
      <c r="C10" s="24">
        <v>1</v>
      </c>
      <c r="D10" s="25">
        <v>0</v>
      </c>
      <c r="E10" s="14" t="str">
        <v xml:space="preserve">Brannan 
</v>
      </c>
      <c r="F10" s="14" t="str">
        <v>Julian</v>
      </c>
      <c r="G10" s="17">
        <v>185423</v>
      </c>
      <c r="H10" s="23"/>
      <c r="I10" s="14"/>
      <c r="J10" s="22"/>
      <c r="K10" s="14"/>
      <c r="L10" s="14"/>
      <c r="M10" s="5"/>
    </row>
    <row r="11" spans="3:13" ht="18.75" customHeight="1" x14ac:dyDescent="0.2">
      <c r="C11" s="24">
        <v>1</v>
      </c>
      <c r="D11" s="25">
        <v>0</v>
      </c>
      <c r="E11" s="14" t="str">
        <v xml:space="preserve">Good 
</v>
      </c>
      <c r="F11" s="14" t="str">
        <v>Jaxon</v>
      </c>
      <c r="G11" s="17">
        <v>185442</v>
      </c>
      <c r="H11" s="23"/>
      <c r="I11" s="14"/>
      <c r="J11" s="22"/>
      <c r="K11" s="14"/>
      <c r="L11" s="14"/>
      <c r="M11" s="5"/>
    </row>
    <row r="12" spans="3:13" ht="18.75" customHeight="1" x14ac:dyDescent="0.2">
      <c r="C12" s="24">
        <v>1</v>
      </c>
      <c r="D12" s="25">
        <v>0</v>
      </c>
      <c r="E12" s="14" t="str">
        <v xml:space="preserve">Kraemer 
</v>
      </c>
      <c r="F12" s="14" t="str">
        <v>Andrew</v>
      </c>
      <c r="G12" s="17">
        <v>185452</v>
      </c>
      <c r="H12" s="21"/>
      <c r="I12" s="14"/>
      <c r="J12" s="22"/>
      <c r="K12" s="14"/>
      <c r="L12" s="14"/>
      <c r="M12" s="5"/>
    </row>
    <row r="13" spans="3:13" ht="18.75" customHeight="1" x14ac:dyDescent="0.2">
      <c r="C13" s="24">
        <v>1</v>
      </c>
      <c r="D13" s="25">
        <v>0</v>
      </c>
      <c r="E13" s="14" t="str">
        <v xml:space="preserve">Lee 
</v>
      </c>
      <c r="F13" s="14" t="str">
        <v>Jacory</v>
      </c>
      <c r="G13" s="17">
        <v>185455</v>
      </c>
      <c r="H13" s="23"/>
      <c r="I13" s="14"/>
      <c r="J13" s="22"/>
      <c r="K13" s="14"/>
      <c r="L13" s="14"/>
      <c r="M13" s="5"/>
    </row>
    <row r="14" spans="3:13" ht="18.75" customHeight="1" x14ac:dyDescent="0.2">
      <c r="C14" s="24">
        <v>1</v>
      </c>
      <c r="D14" s="25">
        <v>0</v>
      </c>
      <c r="E14" s="14" t="str">
        <v xml:space="preserve">McGlory 
</v>
      </c>
      <c r="F14" s="14" t="str">
        <v>Cameron</v>
      </c>
      <c r="G14" s="17">
        <v>185474</v>
      </c>
      <c r="H14" s="23"/>
      <c r="I14" s="14"/>
      <c r="J14" s="22"/>
      <c r="K14" s="14"/>
      <c r="L14" s="14"/>
      <c r="M14" s="5"/>
    </row>
    <row r="15" spans="3:13" ht="18.75" customHeight="1" x14ac:dyDescent="0.2">
      <c r="C15" s="24">
        <v>1</v>
      </c>
      <c r="D15" s="25">
        <v>0</v>
      </c>
      <c r="E15" s="14" t="str">
        <v xml:space="preserve">Miles 
</v>
      </c>
      <c r="F15" s="14" t="str">
        <v>Jarvis</v>
      </c>
      <c r="G15" s="17">
        <v>185477</v>
      </c>
      <c r="H15" s="23"/>
      <c r="I15" s="14"/>
      <c r="J15" s="22"/>
      <c r="K15" s="14"/>
      <c r="L15" s="14"/>
      <c r="M15" s="5"/>
    </row>
    <row r="16" spans="3:13" ht="18.75" customHeight="1" x14ac:dyDescent="0.2">
      <c r="C16" s="24">
        <v>1</v>
      </c>
      <c r="D16" s="25">
        <v>0</v>
      </c>
      <c r="E16" s="14" t="str">
        <v xml:space="preserve">Nieto 
</v>
      </c>
      <c r="F16" s="14" t="str">
        <v>Vianka</v>
      </c>
      <c r="G16" s="17">
        <v>185482</v>
      </c>
      <c r="H16" s="21"/>
      <c r="I16" s="14"/>
      <c r="J16" s="22"/>
      <c r="K16" s="14"/>
      <c r="L16" s="14"/>
      <c r="M16" s="5"/>
    </row>
    <row r="17" spans="3:13" ht="18.75" customHeight="1" x14ac:dyDescent="0.2">
      <c r="C17" s="24">
        <v>1</v>
      </c>
      <c r="D17" s="25">
        <v>0</v>
      </c>
      <c r="E17" s="14" t="str">
        <v xml:space="preserve">Pacheco 
</v>
      </c>
      <c r="F17" s="14" t="str">
        <v>Christopher</v>
      </c>
      <c r="G17" s="17">
        <v>185495</v>
      </c>
      <c r="H17" s="23"/>
      <c r="I17" s="14"/>
      <c r="J17" s="22"/>
      <c r="K17" s="14"/>
      <c r="L17" s="14"/>
      <c r="M17" s="5"/>
    </row>
    <row r="18" spans="3:13" ht="18.75" customHeight="1" x14ac:dyDescent="0.2">
      <c r="C18" s="24">
        <v>1</v>
      </c>
      <c r="D18" s="25">
        <v>0</v>
      </c>
      <c r="E18" s="14" t="str">
        <v xml:space="preserve">Sanders 
</v>
      </c>
      <c r="F18" s="14" t="str">
        <v>Clinton</v>
      </c>
      <c r="G18" s="17">
        <v>185505</v>
      </c>
      <c r="H18" s="23"/>
      <c r="I18" s="14"/>
      <c r="J18" s="22"/>
      <c r="K18" s="14"/>
      <c r="L18" s="14"/>
      <c r="M18" s="5"/>
    </row>
    <row r="19" spans="3:13" ht="18.75" customHeight="1" x14ac:dyDescent="0.2">
      <c r="C19" s="24">
        <v>1</v>
      </c>
      <c r="D19" s="25">
        <v>0</v>
      </c>
      <c r="E19" s="14" t="str">
        <v>Thomas</v>
      </c>
      <c r="F19" s="14" t="str">
        <v>Paul</v>
      </c>
      <c r="G19" s="17">
        <v>185512</v>
      </c>
      <c r="H19" s="23"/>
      <c r="I19" s="14"/>
      <c r="J19" s="22"/>
      <c r="K19" s="14"/>
      <c r="L19" s="14"/>
      <c r="M19" s="5"/>
    </row>
    <row r="20" spans="3:13" ht="18.75" customHeight="1" x14ac:dyDescent="0.2">
      <c r="C20" s="24">
        <v>1</v>
      </c>
      <c r="D20" s="25">
        <v>0</v>
      </c>
      <c r="E20" s="14" t="str">
        <v xml:space="preserve">Velasquez Guerrero 
</v>
      </c>
      <c r="F20" s="14" t="str">
        <v>Jeffrey</v>
      </c>
      <c r="G20" s="17">
        <v>185517</v>
      </c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 cm="1">
        <f t="array" ref="C30:G39">_xlfn._xlws.FILTER(_2026G[[No.]:[PR'#]],_2026G[No.]=0)</f>
        <v>0</v>
      </c>
      <c r="D30" s="25">
        <v>0</v>
      </c>
      <c r="E30" s="14" t="str">
        <v xml:space="preserve">Davalos 
</v>
      </c>
      <c r="F30" s="14" t="str">
        <v>Marifer</v>
      </c>
      <c r="G30" s="17">
        <v>185536</v>
      </c>
      <c r="H30" s="23"/>
      <c r="I30" s="14"/>
      <c r="J30" s="22"/>
      <c r="K30" s="14"/>
      <c r="L30" s="14"/>
      <c r="M30" s="5"/>
    </row>
    <row r="31" spans="3:13" ht="18.75" customHeight="1" x14ac:dyDescent="0.2">
      <c r="C31" s="24">
        <v>0</v>
      </c>
      <c r="D31" s="25">
        <v>0</v>
      </c>
      <c r="E31" s="14" t="str">
        <v xml:space="preserve">Elguezabal 
</v>
      </c>
      <c r="F31" s="14" t="str">
        <v>Carlos</v>
      </c>
      <c r="G31" s="17">
        <v>185537</v>
      </c>
      <c r="H31" s="23"/>
      <c r="I31" s="14"/>
      <c r="J31" s="22"/>
      <c r="K31" s="14"/>
      <c r="L31" s="14"/>
      <c r="M31" s="5"/>
    </row>
    <row r="32" spans="3:13" ht="18.75" customHeight="1" x14ac:dyDescent="0.2">
      <c r="C32" s="24">
        <v>0</v>
      </c>
      <c r="D32" s="25">
        <v>0</v>
      </c>
      <c r="E32" s="14" t="str">
        <v xml:space="preserve">Guerrero 
</v>
      </c>
      <c r="F32" s="14" t="str">
        <v>Miguel</v>
      </c>
      <c r="G32" s="17">
        <v>185526</v>
      </c>
      <c r="H32" s="23"/>
      <c r="I32" s="14"/>
      <c r="J32" s="22"/>
      <c r="K32" s="14"/>
      <c r="L32" s="14"/>
      <c r="M32" s="5"/>
    </row>
    <row r="33" spans="3:13" ht="18.75" customHeight="1" x14ac:dyDescent="0.2">
      <c r="C33" s="24">
        <v>0</v>
      </c>
      <c r="D33" s="25">
        <v>0</v>
      </c>
      <c r="E33" s="14" t="str">
        <v xml:space="preserve">Manson 
</v>
      </c>
      <c r="F33" s="14" t="str">
        <v>Azlynn</v>
      </c>
      <c r="G33" s="17">
        <v>185464</v>
      </c>
      <c r="H33" s="23"/>
      <c r="I33" s="14"/>
      <c r="J33" s="22"/>
      <c r="K33" s="14"/>
      <c r="L33" s="14"/>
      <c r="M33" s="5"/>
    </row>
    <row r="34" spans="3:13" ht="18.75" customHeight="1" x14ac:dyDescent="0.2">
      <c r="C34" s="24">
        <v>0</v>
      </c>
      <c r="D34" s="25">
        <v>0</v>
      </c>
      <c r="E34" s="14" t="str">
        <v xml:space="preserve">McBride 
</v>
      </c>
      <c r="F34" s="14" t="str">
        <v>Andrew</v>
      </c>
      <c r="G34" s="17">
        <v>185471</v>
      </c>
      <c r="H34" s="23"/>
      <c r="I34" s="14"/>
      <c r="J34" s="22"/>
      <c r="K34" s="14"/>
      <c r="L34" s="14"/>
      <c r="M34" s="5"/>
    </row>
    <row r="35" spans="3:13" ht="18.75" customHeight="1" x14ac:dyDescent="0.2">
      <c r="C35" s="24">
        <v>0</v>
      </c>
      <c r="D35" s="25">
        <v>0</v>
      </c>
      <c r="E35" s="14" t="str">
        <v xml:space="preserve">Montalvo 
</v>
      </c>
      <c r="F35" s="14" t="str">
        <v xml:space="preserve">Michael </v>
      </c>
      <c r="G35" s="17">
        <v>185478</v>
      </c>
      <c r="H35" s="23"/>
      <c r="I35" s="14"/>
      <c r="J35" s="22"/>
      <c r="K35" s="14"/>
      <c r="L35" s="14"/>
      <c r="M35" s="5"/>
    </row>
    <row r="36" spans="3:13" ht="18.75" customHeight="1" x14ac:dyDescent="0.2">
      <c r="C36" s="24">
        <v>0</v>
      </c>
      <c r="D36" s="25">
        <v>0</v>
      </c>
      <c r="E36" s="14" t="str">
        <v xml:space="preserve">Ponce 
</v>
      </c>
      <c r="F36" s="14" t="str">
        <v>Angel</v>
      </c>
      <c r="G36" s="17">
        <v>185498</v>
      </c>
      <c r="H36" s="23"/>
      <c r="I36" s="14"/>
      <c r="J36" s="22"/>
      <c r="K36" s="14"/>
      <c r="L36" s="14"/>
      <c r="M36" s="5"/>
    </row>
    <row r="37" spans="3:13" ht="18.75" customHeight="1" x14ac:dyDescent="0.2">
      <c r="C37" s="24">
        <v>0</v>
      </c>
      <c r="D37" s="25">
        <v>0</v>
      </c>
      <c r="E37" s="14" t="str">
        <v xml:space="preserve">Saksenberg 
</v>
      </c>
      <c r="F37" s="14" t="str">
        <v>Blake</v>
      </c>
      <c r="G37" s="17">
        <v>185503</v>
      </c>
      <c r="H37" s="23"/>
      <c r="I37" s="14"/>
      <c r="J37" s="22"/>
      <c r="K37" s="14"/>
      <c r="L37" s="14"/>
      <c r="M37" s="5"/>
    </row>
    <row r="38" spans="3:13" ht="18.75" customHeight="1" x14ac:dyDescent="0.2">
      <c r="C38" s="24">
        <v>0</v>
      </c>
      <c r="D38" s="25">
        <v>0</v>
      </c>
      <c r="E38" s="14" t="str">
        <v xml:space="preserve">Tristan 
</v>
      </c>
      <c r="F38" s="14" t="str">
        <v>Jacob</v>
      </c>
      <c r="G38" s="17">
        <v>185515</v>
      </c>
      <c r="H38" s="23"/>
      <c r="I38" s="14"/>
      <c r="J38" s="22"/>
      <c r="K38" s="14"/>
      <c r="L38" s="14"/>
      <c r="M38" s="5"/>
    </row>
    <row r="39" spans="3:13" ht="18.75" customHeight="1" x14ac:dyDescent="0.2">
      <c r="C39" s="24">
        <v>0</v>
      </c>
      <c r="D39" s="25">
        <v>0</v>
      </c>
      <c r="E39" s="14" t="str">
        <v xml:space="preserve">Velazquez Hernandez 
</v>
      </c>
      <c r="F39" s="14" t="str">
        <v>Samuel</v>
      </c>
      <c r="G39" s="17">
        <v>185518</v>
      </c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SUM(C6:C47,I6:I47)</f>
        <v>15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32" priority="2">
      <formula>$C6=0</formula>
    </cfRule>
  </conditionalFormatting>
  <conditionalFormatting sqref="K6:M47">
    <cfRule type="expression" dxfId="31" priority="1">
      <formula>$I6=0</formula>
    </cfRule>
  </conditionalFormatting>
  <pageMargins left="0.5" right="0" top="0.35" bottom="0" header="0.3" footer="0.3"/>
  <pageSetup scale="91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C555-F9D9-4112-A489-C86D000D67DE}">
  <sheetPr codeName="Sheet14">
    <tabColor theme="0" tint="-0.14999847407452621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K19" sqref="K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12</v>
      </c>
    </row>
    <row r="2" spans="3:13" ht="3.75" customHeight="1" x14ac:dyDescent="0.2"/>
    <row r="3" spans="3:13" ht="30" customHeight="1" x14ac:dyDescent="0.4">
      <c r="C3" s="73" t="s">
        <v>568</v>
      </c>
      <c r="D3" s="74"/>
      <c r="E3" s="74"/>
      <c r="F3" s="74"/>
      <c r="G3" s="74"/>
      <c r="H3" s="74"/>
      <c r="I3" s="74"/>
      <c r="J3" s="74"/>
      <c r="K3" s="74"/>
      <c r="L3" s="74"/>
      <c r="M3" s="75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22">_2026I[[No.]:[PR'#]]</f>
        <v>1</v>
      </c>
      <c r="D6" s="38">
        <v>0</v>
      </c>
      <c r="E6" s="14" t="str">
        <v>BoClair</v>
      </c>
      <c r="F6" s="14" t="str">
        <v>Ryan</v>
      </c>
      <c r="G6" s="17">
        <v>183452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0</v>
      </c>
      <c r="D7" s="38">
        <v>1</v>
      </c>
      <c r="E7" s="14" t="str">
        <v>Ceeney</v>
      </c>
      <c r="F7" s="14" t="str">
        <v>Charles</v>
      </c>
      <c r="G7" s="17">
        <v>185883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>Fowler</v>
      </c>
      <c r="F8" s="14" t="str">
        <v>Christopher</v>
      </c>
      <c r="G8" s="17">
        <v>185911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>Garrett</v>
      </c>
      <c r="F9" s="14" t="str">
        <v>Nicholas</v>
      </c>
      <c r="G9" s="17">
        <v>185895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1</v>
      </c>
      <c r="D10" s="38">
        <v>4</v>
      </c>
      <c r="E10" s="14" t="str">
        <v>Hadnott</v>
      </c>
      <c r="F10" s="14" t="str">
        <v>Alyssa</v>
      </c>
      <c r="G10" s="17">
        <v>185896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>Huffman</v>
      </c>
      <c r="F11" s="14" t="str">
        <v>Kaleb</v>
      </c>
      <c r="G11" s="17">
        <v>185898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>Marrero</v>
      </c>
      <c r="F12" s="14" t="str">
        <v>Kenneth</v>
      </c>
      <c r="G12" s="17">
        <v>179661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>Martinez</v>
      </c>
      <c r="F13" s="14" t="str">
        <v>Pedro</v>
      </c>
      <c r="G13" s="17">
        <v>185893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0</v>
      </c>
      <c r="D14" s="38">
        <v>8</v>
      </c>
      <c r="E14" s="14" t="str">
        <v>Matthews</v>
      </c>
      <c r="F14" s="14" t="str">
        <v>Kalob</v>
      </c>
      <c r="G14" s="17">
        <v>185888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>Merryman</v>
      </c>
      <c r="F15" s="14" t="str">
        <v>Eva</v>
      </c>
      <c r="G15" s="17">
        <v>185916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0</v>
      </c>
      <c r="D16" s="38">
        <v>10</v>
      </c>
      <c r="E16" s="14" t="str">
        <v>Perez</v>
      </c>
      <c r="F16" s="14" t="str">
        <v>Carlos</v>
      </c>
      <c r="G16" s="17">
        <v>185920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>Perez</v>
      </c>
      <c r="F17" s="14" t="str">
        <v>Johnathan</v>
      </c>
      <c r="G17" s="17">
        <v>185921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>Sampson</v>
      </c>
      <c r="F18" s="14" t="str">
        <v>Anthony</v>
      </c>
      <c r="G18" s="17">
        <v>185923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>Sanchez</v>
      </c>
      <c r="F19" s="14" t="str">
        <v>Martin</v>
      </c>
      <c r="G19" s="17">
        <v>185901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1</v>
      </c>
      <c r="D20" s="38">
        <v>14</v>
      </c>
      <c r="E20" s="14" t="str">
        <v>Shaw</v>
      </c>
      <c r="F20" s="14" t="str">
        <v>Steven</v>
      </c>
      <c r="G20" s="17">
        <v>183095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1</v>
      </c>
      <c r="D21" s="38">
        <v>15</v>
      </c>
      <c r="E21" s="14" t="str">
        <v>Turmero</v>
      </c>
      <c r="F21" s="14" t="str">
        <v>Gabriel</v>
      </c>
      <c r="G21" s="17">
        <v>185928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0</v>
      </c>
      <c r="D22" s="38">
        <v>16</v>
      </c>
      <c r="E22" s="14" t="str">
        <v>Visser</v>
      </c>
      <c r="F22" s="14" t="str">
        <v>Jesse</v>
      </c>
      <c r="G22" s="17">
        <v>185917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/>
      <c r="D23" s="38"/>
      <c r="E23" s="14"/>
      <c r="F23" s="14"/>
      <c r="G23" s="17"/>
      <c r="H23" s="21"/>
      <c r="I23" s="12"/>
      <c r="J23" s="38"/>
      <c r="K23" s="14"/>
      <c r="L23" s="14"/>
      <c r="M23" s="5"/>
    </row>
    <row r="24" spans="3:13" ht="18.75" customHeight="1" x14ac:dyDescent="0.2">
      <c r="C24" s="12"/>
      <c r="D24" s="38"/>
      <c r="E24" s="14"/>
      <c r="F24" s="14"/>
      <c r="G24" s="17"/>
      <c r="H24" s="23"/>
      <c r="I24" s="12"/>
      <c r="J24" s="38"/>
      <c r="K24" s="14"/>
      <c r="L24" s="14"/>
      <c r="M24" s="5"/>
    </row>
    <row r="25" spans="3:13" ht="18.75" customHeight="1" x14ac:dyDescent="0.2">
      <c r="C25" s="12"/>
      <c r="D25" s="38"/>
      <c r="E25" s="14"/>
      <c r="F25" s="14"/>
      <c r="G25" s="17"/>
      <c r="H25" s="23"/>
      <c r="I25" s="12"/>
      <c r="J25" s="38"/>
      <c r="K25" s="14"/>
      <c r="L25" s="14"/>
      <c r="M25" s="5"/>
    </row>
    <row r="26" spans="3:13" ht="18.75" customHeight="1" x14ac:dyDescent="0.2">
      <c r="C26" s="12"/>
      <c r="D26" s="38"/>
      <c r="E26" s="14"/>
      <c r="F26" s="14"/>
      <c r="G26" s="17"/>
      <c r="H26" s="23"/>
      <c r="I26" s="12"/>
      <c r="J26" s="38"/>
      <c r="K26" s="14"/>
      <c r="L26" s="14"/>
      <c r="M26" s="5"/>
    </row>
    <row r="27" spans="3:13" ht="18.75" customHeight="1" x14ac:dyDescent="0.2">
      <c r="C27" s="12"/>
      <c r="D27" s="38"/>
      <c r="E27" s="14"/>
      <c r="F27" s="14"/>
      <c r="G27" s="17"/>
      <c r="H27" s="23"/>
      <c r="I27" s="12"/>
      <c r="J27" s="38"/>
      <c r="K27" s="14"/>
      <c r="L27" s="14"/>
      <c r="M27" s="5"/>
    </row>
    <row r="28" spans="3:13" ht="18.75" customHeight="1" x14ac:dyDescent="0.2">
      <c r="C28" s="12"/>
      <c r="D28" s="38"/>
      <c r="E28" s="14"/>
      <c r="F28" s="14"/>
      <c r="G28" s="17"/>
      <c r="H28" s="23"/>
      <c r="I28" s="12"/>
      <c r="J28" s="38"/>
      <c r="K28" s="14"/>
      <c r="L28" s="14"/>
      <c r="M28" s="5"/>
    </row>
    <row r="29" spans="3:13" ht="18.75" customHeight="1" x14ac:dyDescent="0.2">
      <c r="C29" s="12"/>
      <c r="D29" s="38"/>
      <c r="E29" s="14"/>
      <c r="F29" s="14"/>
      <c r="G29" s="17"/>
      <c r="H29" s="23"/>
      <c r="I29" s="12"/>
      <c r="J29" s="38"/>
      <c r="K29" s="14"/>
      <c r="L29" s="14"/>
      <c r="M29" s="5"/>
    </row>
    <row r="30" spans="3:13" ht="18.75" customHeight="1" x14ac:dyDescent="0.2">
      <c r="C30" s="12"/>
      <c r="D30" s="38"/>
      <c r="E30" s="14"/>
      <c r="F30" s="14"/>
      <c r="G30" s="17"/>
      <c r="H30" s="23"/>
      <c r="I30" s="12"/>
      <c r="J30" s="38"/>
      <c r="K30" s="14"/>
      <c r="L30" s="14"/>
      <c r="M30" s="5"/>
    </row>
    <row r="31" spans="3:13" ht="18.75" customHeight="1" x14ac:dyDescent="0.2">
      <c r="C31" s="12"/>
      <c r="D31" s="38"/>
      <c r="E31" s="14"/>
      <c r="F31" s="14"/>
      <c r="G31" s="17"/>
      <c r="H31" s="23"/>
      <c r="I31" s="12"/>
      <c r="J31" s="38"/>
      <c r="K31" s="14"/>
      <c r="L31" s="14"/>
      <c r="M31" s="5"/>
    </row>
    <row r="32" spans="3:13" ht="18.75" customHeight="1" x14ac:dyDescent="0.2">
      <c r="C32" s="12"/>
      <c r="D32" s="38"/>
      <c r="E32" s="14"/>
      <c r="F32" s="14"/>
      <c r="G32" s="17"/>
      <c r="H32" s="23"/>
      <c r="I32" s="12"/>
      <c r="J32" s="38"/>
      <c r="K32" s="14"/>
      <c r="L32" s="14"/>
      <c r="M32" s="5"/>
    </row>
    <row r="33" spans="3:13" ht="18.75" customHeight="1" x14ac:dyDescent="0.2">
      <c r="C33" s="12"/>
      <c r="D33" s="38"/>
      <c r="E33" s="14"/>
      <c r="F33" s="14"/>
      <c r="G33" s="17"/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12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30" priority="4">
      <formula>$C6=0</formula>
    </cfRule>
  </conditionalFormatting>
  <conditionalFormatting sqref="K6:M47">
    <cfRule type="expression" dxfId="29" priority="3">
      <formula>$I6=0</formula>
    </cfRule>
  </conditionalFormatting>
  <conditionalFormatting sqref="C6:D47">
    <cfRule type="expression" dxfId="28" priority="2">
      <formula>$D6="*"</formula>
    </cfRule>
  </conditionalFormatting>
  <conditionalFormatting sqref="I6:J47">
    <cfRule type="expression" dxfId="27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8481-65DD-4BFF-9104-819C9411AB1D}">
  <sheetPr codeName="Sheet13">
    <tabColor theme="4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50</v>
      </c>
    </row>
    <row r="2" spans="3:13" ht="3.75" customHeight="1" x14ac:dyDescent="0.2"/>
    <row r="3" spans="3:13" ht="30" customHeight="1" x14ac:dyDescent="0.4">
      <c r="C3" s="64" t="s">
        <v>482</v>
      </c>
      <c r="D3" s="65"/>
      <c r="E3" s="65"/>
      <c r="F3" s="65"/>
      <c r="G3" s="65"/>
      <c r="H3" s="65"/>
      <c r="I3" s="65"/>
      <c r="J3" s="65"/>
      <c r="K3" s="65"/>
      <c r="L3" s="65"/>
      <c r="M3" s="66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45">DATA!Y3:AC42</f>
        <v>1</v>
      </c>
      <c r="D6" s="38" t="str">
        <v>*</v>
      </c>
      <c r="E6" s="14" t="str">
        <v xml:space="preserve">Abrego 
</v>
      </c>
      <c r="F6" s="14" t="str">
        <v>Aiden</v>
      </c>
      <c r="G6" s="17">
        <v>185405</v>
      </c>
      <c r="H6" s="23"/>
      <c r="I6" s="12" cm="1">
        <f t="array" ref="I6:M34">DATA!Y43:AC71</f>
        <v>1</v>
      </c>
      <c r="J6" s="38" t="str">
        <v>*</v>
      </c>
      <c r="K6" s="14" t="str">
        <v xml:space="preserve">Oxendine 
</v>
      </c>
      <c r="L6" s="14" t="str">
        <v>Devin</v>
      </c>
      <c r="M6" s="5">
        <v>185494</v>
      </c>
    </row>
    <row r="7" spans="3:13" ht="18.75" customHeight="1" x14ac:dyDescent="0.2">
      <c r="C7" s="12">
        <v>1</v>
      </c>
      <c r="D7" s="38">
        <v>185407</v>
      </c>
      <c r="E7" s="14" t="str">
        <v xml:space="preserve">Aguilar 
</v>
      </c>
      <c r="F7" s="14" t="str">
        <v>Juan</v>
      </c>
      <c r="G7" s="17">
        <v>185407</v>
      </c>
      <c r="H7" s="23"/>
      <c r="I7" s="12">
        <v>1</v>
      </c>
      <c r="J7" s="38">
        <v>185497</v>
      </c>
      <c r="K7" s="14" t="str">
        <v xml:space="preserve">Perales 
</v>
      </c>
      <c r="L7" s="14" t="str">
        <v>Faustino</v>
      </c>
      <c r="M7" s="5">
        <v>185497</v>
      </c>
    </row>
    <row r="8" spans="3:13" ht="18.75" customHeight="1" x14ac:dyDescent="0.2">
      <c r="C8" s="12">
        <v>1</v>
      </c>
      <c r="D8" s="38">
        <v>185532</v>
      </c>
      <c r="E8" s="14" t="str">
        <v xml:space="preserve">Allee 
</v>
      </c>
      <c r="F8" s="14" t="str">
        <v>Joseph</v>
      </c>
      <c r="G8" s="17">
        <v>185532</v>
      </c>
      <c r="H8" s="23"/>
      <c r="I8" s="12">
        <v>1</v>
      </c>
      <c r="J8" s="38">
        <v>185499</v>
      </c>
      <c r="K8" s="14" t="str">
        <v xml:space="preserve">Putnam 
</v>
      </c>
      <c r="L8" s="14" t="str">
        <v>Graysen</v>
      </c>
      <c r="M8" s="5">
        <v>185499</v>
      </c>
    </row>
    <row r="9" spans="3:13" ht="18.75" customHeight="1" x14ac:dyDescent="0.2">
      <c r="C9" s="12">
        <v>1</v>
      </c>
      <c r="D9" s="38">
        <v>185408</v>
      </c>
      <c r="E9" s="14" t="str">
        <v xml:space="preserve">Alonso 
</v>
      </c>
      <c r="F9" s="14" t="str">
        <v>Hugo</v>
      </c>
      <c r="G9" s="17">
        <v>185408</v>
      </c>
      <c r="H9" s="21"/>
      <c r="I9" s="12">
        <v>1</v>
      </c>
      <c r="J9" s="38">
        <v>180635</v>
      </c>
      <c r="K9" s="14" t="str">
        <v xml:space="preserve">Ross 
</v>
      </c>
      <c r="L9" s="14" t="str">
        <v>Richmond</v>
      </c>
      <c r="M9" s="5">
        <v>180635</v>
      </c>
    </row>
    <row r="10" spans="3:13" ht="18.75" customHeight="1" x14ac:dyDescent="0.2">
      <c r="C10" s="12">
        <v>1</v>
      </c>
      <c r="D10" s="38">
        <v>185412</v>
      </c>
      <c r="E10" s="14" t="str">
        <v xml:space="preserve">Arnold 
</v>
      </c>
      <c r="F10" s="14" t="str">
        <v>Noah</v>
      </c>
      <c r="G10" s="17">
        <v>185412</v>
      </c>
      <c r="H10" s="23"/>
      <c r="I10" s="12">
        <v>1</v>
      </c>
      <c r="J10" s="38" t="str">
        <v>*</v>
      </c>
      <c r="K10" s="14" t="str">
        <v xml:space="preserve">Salinas 
</v>
      </c>
      <c r="L10" s="14" t="str">
        <v>Christian</v>
      </c>
      <c r="M10" s="5">
        <v>185504</v>
      </c>
    </row>
    <row r="11" spans="3:13" ht="18.75" customHeight="1" x14ac:dyDescent="0.2">
      <c r="C11" s="12">
        <v>1</v>
      </c>
      <c r="D11" s="38" t="str">
        <v>*</v>
      </c>
      <c r="E11" s="14" t="str">
        <v xml:space="preserve">Baker 
</v>
      </c>
      <c r="F11" s="14" t="str">
        <v>Noah</v>
      </c>
      <c r="G11" s="17">
        <v>185415</v>
      </c>
      <c r="H11" s="23"/>
      <c r="I11" s="12">
        <v>1</v>
      </c>
      <c r="J11" s="38" t="str">
        <v>*</v>
      </c>
      <c r="K11" s="14" t="str">
        <v xml:space="preserve">Schulz 
</v>
      </c>
      <c r="L11" s="14" t="str">
        <v>Nicholas</v>
      </c>
      <c r="M11" s="5">
        <v>182563</v>
      </c>
    </row>
    <row r="12" spans="3:13" ht="18.75" customHeight="1" x14ac:dyDescent="0.2">
      <c r="C12" s="12">
        <v>1</v>
      </c>
      <c r="D12" s="38" t="str">
        <v>*</v>
      </c>
      <c r="E12" s="14" t="str">
        <v xml:space="preserve">Barajas 
</v>
      </c>
      <c r="F12" s="14" t="str">
        <v>Tony</v>
      </c>
      <c r="G12" s="17">
        <v>185527</v>
      </c>
      <c r="H12" s="21"/>
      <c r="I12" s="12">
        <v>1</v>
      </c>
      <c r="J12" s="38">
        <v>185509</v>
      </c>
      <c r="K12" s="14" t="str">
        <v xml:space="preserve">Stewart 
</v>
      </c>
      <c r="L12" s="14" t="str">
        <v>Jovanni</v>
      </c>
      <c r="M12" s="5">
        <v>185509</v>
      </c>
    </row>
    <row r="13" spans="3:13" ht="18.75" customHeight="1" x14ac:dyDescent="0.2">
      <c r="C13" s="12">
        <v>1</v>
      </c>
      <c r="D13" s="38">
        <v>185419</v>
      </c>
      <c r="E13" s="14" t="str">
        <v xml:space="preserve">Bibbs 
</v>
      </c>
      <c r="F13" s="14" t="str">
        <v>Brendon</v>
      </c>
      <c r="G13" s="17">
        <v>185419</v>
      </c>
      <c r="H13" s="23"/>
      <c r="I13" s="12">
        <v>1</v>
      </c>
      <c r="J13" s="38" t="str">
        <v>*</v>
      </c>
      <c r="K13" s="14" t="str">
        <v xml:space="preserve">Todd 
</v>
      </c>
      <c r="L13" s="14" t="str">
        <v>Kyle</v>
      </c>
      <c r="M13" s="5">
        <v>185514</v>
      </c>
    </row>
    <row r="14" spans="3:13" ht="18.75" customHeight="1" x14ac:dyDescent="0.2">
      <c r="C14" s="12">
        <v>1</v>
      </c>
      <c r="D14" s="38">
        <v>185420</v>
      </c>
      <c r="E14" s="14" t="str">
        <v xml:space="preserve">Blackmore 
</v>
      </c>
      <c r="F14" s="14" t="str">
        <v>Lawson</v>
      </c>
      <c r="G14" s="17">
        <v>185420</v>
      </c>
      <c r="H14" s="23"/>
      <c r="I14" s="12">
        <v>1</v>
      </c>
      <c r="J14" s="38">
        <v>185521</v>
      </c>
      <c r="K14" s="14" t="str">
        <v xml:space="preserve">Vogel 
</v>
      </c>
      <c r="L14" s="14" t="str">
        <v>Gunnar</v>
      </c>
      <c r="M14" s="5">
        <v>185521</v>
      </c>
    </row>
    <row r="15" spans="3:13" ht="18.75" customHeight="1" x14ac:dyDescent="0.2">
      <c r="C15" s="12">
        <v>1</v>
      </c>
      <c r="D15" s="38">
        <v>185425</v>
      </c>
      <c r="E15" s="14" t="str">
        <v xml:space="preserve">Burg 
</v>
      </c>
      <c r="F15" s="14" t="str">
        <v>Tyler</v>
      </c>
      <c r="G15" s="17">
        <v>185425</v>
      </c>
      <c r="H15" s="23"/>
      <c r="I15" s="12">
        <v>1</v>
      </c>
      <c r="J15" s="38">
        <v>185524</v>
      </c>
      <c r="K15" s="14" t="str">
        <v xml:space="preserve">Zapata 
</v>
      </c>
      <c r="L15" s="14" t="str">
        <v>Erick</v>
      </c>
      <c r="M15" s="5">
        <v>185524</v>
      </c>
    </row>
    <row r="16" spans="3:13" ht="18.75" customHeight="1" x14ac:dyDescent="0.2">
      <c r="C16" s="12">
        <v>1</v>
      </c>
      <c r="D16" s="38">
        <v>185426</v>
      </c>
      <c r="E16" s="14" t="str">
        <v xml:space="preserve">Cantu 
</v>
      </c>
      <c r="F16" s="14" t="str">
        <v>Michael</v>
      </c>
      <c r="G16" s="17">
        <v>185426</v>
      </c>
      <c r="H16" s="21"/>
      <c r="I16" s="12">
        <v>0</v>
      </c>
      <c r="J16" s="38">
        <v>185413</v>
      </c>
      <c r="K16" s="14" t="str">
        <v>Autrey</v>
      </c>
      <c r="L16" s="14" t="str">
        <v>James</v>
      </c>
      <c r="M16" s="5">
        <v>185413</v>
      </c>
    </row>
    <row r="17" spans="3:13" ht="18.75" customHeight="1" x14ac:dyDescent="0.2">
      <c r="C17" s="12">
        <v>1</v>
      </c>
      <c r="D17" s="38">
        <v>185427</v>
      </c>
      <c r="E17" s="14" t="str">
        <v xml:space="preserve">Cardenas 
</v>
      </c>
      <c r="F17" s="14" t="str">
        <v>Marcos</v>
      </c>
      <c r="G17" s="17">
        <v>185427</v>
      </c>
      <c r="H17" s="23"/>
      <c r="I17" s="12">
        <v>0</v>
      </c>
      <c r="J17" s="38">
        <v>185422</v>
      </c>
      <c r="K17" s="14" t="str">
        <v>Bowman</v>
      </c>
      <c r="L17" s="14" t="str">
        <v>David</v>
      </c>
      <c r="M17" s="5">
        <v>185422</v>
      </c>
    </row>
    <row r="18" spans="3:13" ht="18.75" customHeight="1" x14ac:dyDescent="0.2">
      <c r="C18" s="12">
        <v>1</v>
      </c>
      <c r="D18" s="38">
        <v>185428</v>
      </c>
      <c r="E18" s="14" t="str">
        <v xml:space="preserve">Carrasco 
</v>
      </c>
      <c r="F18" s="14" t="str">
        <v>Marc</v>
      </c>
      <c r="G18" s="17">
        <v>185428</v>
      </c>
      <c r="H18" s="23"/>
      <c r="I18" s="12">
        <v>0</v>
      </c>
      <c r="J18" s="38">
        <v>185436</v>
      </c>
      <c r="K18" s="14" t="str">
        <v xml:space="preserve">Federowicz 
</v>
      </c>
      <c r="L18" s="14" t="str">
        <v>Daniel</v>
      </c>
      <c r="M18" s="5">
        <v>185436</v>
      </c>
    </row>
    <row r="19" spans="3:13" ht="18.75" customHeight="1" x14ac:dyDescent="0.2">
      <c r="C19" s="12">
        <v>1</v>
      </c>
      <c r="D19" s="38">
        <v>185430</v>
      </c>
      <c r="E19" s="14" t="str">
        <v xml:space="preserve">Chavez 
</v>
      </c>
      <c r="F19" s="14" t="str">
        <v>Cesar</v>
      </c>
      <c r="G19" s="17">
        <v>185430</v>
      </c>
      <c r="H19" s="23"/>
      <c r="I19" s="12">
        <v>0</v>
      </c>
      <c r="J19" s="38">
        <v>185437</v>
      </c>
      <c r="K19" s="14" t="str">
        <v xml:space="preserve">Fitzpatrick 
</v>
      </c>
      <c r="L19" s="14" t="str">
        <v>Khyon</v>
      </c>
      <c r="M19" s="5">
        <v>185437</v>
      </c>
    </row>
    <row r="20" spans="3:13" ht="18.75" customHeight="1" x14ac:dyDescent="0.2">
      <c r="C20" s="12">
        <v>1</v>
      </c>
      <c r="D20" s="38">
        <v>185533</v>
      </c>
      <c r="E20" s="14" t="str">
        <v xml:space="preserve">Cobbert 
</v>
      </c>
      <c r="F20" s="14" t="str">
        <v>Anthony</v>
      </c>
      <c r="G20" s="17">
        <v>185533</v>
      </c>
      <c r="H20" s="23"/>
      <c r="I20" s="12">
        <v>0</v>
      </c>
      <c r="J20" s="38" t="str">
        <v>*</v>
      </c>
      <c r="K20" s="14" t="str">
        <v xml:space="preserve">Garcia 
</v>
      </c>
      <c r="L20" s="14" t="str">
        <v>Yair</v>
      </c>
      <c r="M20" s="5">
        <v>185439</v>
      </c>
    </row>
    <row r="21" spans="3:13" ht="18.75" customHeight="1" x14ac:dyDescent="0.2">
      <c r="C21" s="12">
        <v>1</v>
      </c>
      <c r="D21" s="38" t="str">
        <v>*</v>
      </c>
      <c r="E21" s="14" t="str">
        <v>Contreras</v>
      </c>
      <c r="F21" s="14" t="str">
        <v>Rafael</v>
      </c>
      <c r="G21" s="17">
        <v>182503</v>
      </c>
      <c r="H21" s="23"/>
      <c r="I21" s="12">
        <v>0</v>
      </c>
      <c r="J21" s="38">
        <v>185441</v>
      </c>
      <c r="K21" s="14" t="str">
        <v xml:space="preserve">Gee 
</v>
      </c>
      <c r="L21" s="14" t="str">
        <v>Jecal</v>
      </c>
      <c r="M21" s="5">
        <v>185441</v>
      </c>
    </row>
    <row r="22" spans="3:13" ht="18.75" customHeight="1" x14ac:dyDescent="0.2">
      <c r="C22" s="12">
        <v>1</v>
      </c>
      <c r="D22" s="38" t="str">
        <v>*</v>
      </c>
      <c r="E22" s="14" t="str">
        <v xml:space="preserve">De Leon 
</v>
      </c>
      <c r="F22" s="14" t="str">
        <v>Victor</v>
      </c>
      <c r="G22" s="17">
        <v>185433</v>
      </c>
      <c r="H22" s="23"/>
      <c r="I22" s="12">
        <v>0</v>
      </c>
      <c r="J22" s="38">
        <v>185446</v>
      </c>
      <c r="K22" s="14" t="str">
        <v xml:space="preserve">Hernandez 
</v>
      </c>
      <c r="L22" s="14" t="str">
        <v>Edwin</v>
      </c>
      <c r="M22" s="5">
        <v>185446</v>
      </c>
    </row>
    <row r="23" spans="3:13" ht="18.75" customHeight="1" x14ac:dyDescent="0.2">
      <c r="C23" s="12">
        <v>1</v>
      </c>
      <c r="D23" s="38">
        <v>185432</v>
      </c>
      <c r="E23" s="14" t="str">
        <v xml:space="preserve">Della Sala 
</v>
      </c>
      <c r="F23" s="14" t="str">
        <v>Anthony</v>
      </c>
      <c r="G23" s="17">
        <v>185432</v>
      </c>
      <c r="H23" s="21"/>
      <c r="I23" s="12">
        <v>0</v>
      </c>
      <c r="J23" s="38">
        <v>185449</v>
      </c>
      <c r="K23" s="14" t="str">
        <v xml:space="preserve">Johnson 
</v>
      </c>
      <c r="L23" s="14" t="str">
        <v>Julien</v>
      </c>
      <c r="M23" s="5">
        <v>185449</v>
      </c>
    </row>
    <row r="24" spans="3:13" ht="18.75" customHeight="1" x14ac:dyDescent="0.2">
      <c r="C24" s="12">
        <v>1</v>
      </c>
      <c r="D24" s="38">
        <v>185434</v>
      </c>
      <c r="E24" s="14" t="str">
        <v xml:space="preserve">Dennis 
</v>
      </c>
      <c r="F24" s="14" t="str">
        <v>Telley</v>
      </c>
      <c r="G24" s="17">
        <v>185434</v>
      </c>
      <c r="H24" s="23"/>
      <c r="I24" s="12">
        <v>0</v>
      </c>
      <c r="J24" s="38">
        <v>185463</v>
      </c>
      <c r="K24" s="14" t="str">
        <v xml:space="preserve">Lucas 
</v>
      </c>
      <c r="L24" s="14" t="str">
        <v>Laurence</v>
      </c>
      <c r="M24" s="5">
        <v>185463</v>
      </c>
    </row>
    <row r="25" spans="3:13" ht="18.75" customHeight="1" x14ac:dyDescent="0.2">
      <c r="C25" s="12">
        <v>1</v>
      </c>
      <c r="D25" s="38" t="str">
        <v>*</v>
      </c>
      <c r="E25" s="14" t="str">
        <v xml:space="preserve">Evelina 
</v>
      </c>
      <c r="F25" s="14" t="str">
        <v>Anthony</v>
      </c>
      <c r="G25" s="17">
        <v>185435</v>
      </c>
      <c r="H25" s="23"/>
      <c r="I25" s="12">
        <v>0</v>
      </c>
      <c r="J25" s="38" t="str">
        <v>*</v>
      </c>
      <c r="K25" s="14" t="str">
        <v xml:space="preserve">Martinez 
</v>
      </c>
      <c r="L25" s="14" t="str">
        <v>Miguel</v>
      </c>
      <c r="M25" s="5">
        <v>185468</v>
      </c>
    </row>
    <row r="26" spans="3:13" ht="18.75" customHeight="1" x14ac:dyDescent="0.2">
      <c r="C26" s="12">
        <v>1</v>
      </c>
      <c r="D26" s="38">
        <v>185440</v>
      </c>
      <c r="E26" s="14" t="str">
        <v xml:space="preserve">Garza 
</v>
      </c>
      <c r="F26" s="14" t="str">
        <v>Fernando</v>
      </c>
      <c r="G26" s="17">
        <v>185440</v>
      </c>
      <c r="H26" s="23"/>
      <c r="I26" s="12">
        <v>0</v>
      </c>
      <c r="J26" s="38">
        <v>185479</v>
      </c>
      <c r="K26" s="14" t="str">
        <v xml:space="preserve">Moore 
</v>
      </c>
      <c r="L26" s="14" t="str">
        <v>Kendrick</v>
      </c>
      <c r="M26" s="5">
        <v>185479</v>
      </c>
    </row>
    <row r="27" spans="3:13" ht="18.75" customHeight="1" x14ac:dyDescent="0.2">
      <c r="C27" s="12">
        <v>1</v>
      </c>
      <c r="D27" s="38" t="str">
        <v>*</v>
      </c>
      <c r="E27" s="14" t="str">
        <v xml:space="preserve">Gonzalez 
</v>
      </c>
      <c r="F27" s="14" t="str">
        <v>Justice</v>
      </c>
      <c r="G27" s="17">
        <v>185535</v>
      </c>
      <c r="H27" s="23"/>
      <c r="I27" s="12">
        <v>0</v>
      </c>
      <c r="J27" s="38" t="str">
        <v>*</v>
      </c>
      <c r="K27" s="14" t="str">
        <v xml:space="preserve">Palla 
</v>
      </c>
      <c r="L27" s="14" t="str">
        <v>Jaxson</v>
      </c>
      <c r="M27" s="5">
        <v>185496</v>
      </c>
    </row>
    <row r="28" spans="3:13" ht="18.75" customHeight="1" x14ac:dyDescent="0.2">
      <c r="C28" s="12">
        <v>1</v>
      </c>
      <c r="D28" s="38">
        <v>185445</v>
      </c>
      <c r="E28" s="14" t="str">
        <v xml:space="preserve">Hernandez 
</v>
      </c>
      <c r="F28" s="14" t="str">
        <v>Eduardo</v>
      </c>
      <c r="G28" s="17">
        <v>185445</v>
      </c>
      <c r="H28" s="23"/>
      <c r="I28" s="12">
        <v>0</v>
      </c>
      <c r="J28" s="38">
        <v>185502</v>
      </c>
      <c r="K28" s="14" t="str">
        <v xml:space="preserve">Rubio Zavala 
</v>
      </c>
      <c r="L28" s="14" t="str">
        <v>Efren</v>
      </c>
      <c r="M28" s="5">
        <v>185502</v>
      </c>
    </row>
    <row r="29" spans="3:13" ht="18.75" customHeight="1" x14ac:dyDescent="0.2">
      <c r="C29" s="12">
        <v>1</v>
      </c>
      <c r="D29" s="38">
        <v>185448</v>
      </c>
      <c r="E29" s="14" t="str">
        <v xml:space="preserve">Jacobo 
</v>
      </c>
      <c r="F29" s="14" t="str">
        <v>Jacob</v>
      </c>
      <c r="G29" s="17">
        <v>185448</v>
      </c>
      <c r="H29" s="23"/>
      <c r="I29" s="12">
        <v>0</v>
      </c>
      <c r="J29" s="38">
        <v>185501</v>
      </c>
      <c r="K29" s="14" t="str">
        <v xml:space="preserve">Sejour 
</v>
      </c>
      <c r="L29" s="14" t="str">
        <v>Niaave</v>
      </c>
      <c r="M29" s="5">
        <v>185501</v>
      </c>
    </row>
    <row r="30" spans="3:13" ht="18.75" customHeight="1" x14ac:dyDescent="0.2">
      <c r="C30" s="12">
        <v>1</v>
      </c>
      <c r="D30" s="38">
        <v>185450</v>
      </c>
      <c r="E30" s="14" t="str">
        <v xml:space="preserve">Jones 
</v>
      </c>
      <c r="F30" s="14" t="str">
        <v>Jace</v>
      </c>
      <c r="G30" s="17">
        <v>185450</v>
      </c>
      <c r="H30" s="23"/>
      <c r="I30" s="12">
        <v>0</v>
      </c>
      <c r="J30" s="38" t="str">
        <v>*</v>
      </c>
      <c r="K30" s="14" t="str">
        <v xml:space="preserve">Shalilian 
</v>
      </c>
      <c r="L30" s="14" t="str">
        <v>Ida</v>
      </c>
      <c r="M30" s="5">
        <v>185507</v>
      </c>
    </row>
    <row r="31" spans="3:13" ht="18.75" customHeight="1" x14ac:dyDescent="0.2">
      <c r="C31" s="12">
        <v>1</v>
      </c>
      <c r="D31" s="38">
        <v>185451</v>
      </c>
      <c r="E31" s="14" t="str">
        <v xml:space="preserve">Juarez Arredondo 
</v>
      </c>
      <c r="F31" s="14" t="str">
        <v>Braulio</v>
      </c>
      <c r="G31" s="17">
        <v>185451</v>
      </c>
      <c r="H31" s="23"/>
      <c r="I31" s="12">
        <v>0</v>
      </c>
      <c r="J31" s="38">
        <v>185508</v>
      </c>
      <c r="K31" s="14" t="str">
        <v xml:space="preserve">Spencer 
</v>
      </c>
      <c r="L31" s="14" t="str">
        <v>Tacory</v>
      </c>
      <c r="M31" s="5">
        <v>185508</v>
      </c>
    </row>
    <row r="32" spans="3:13" ht="18.75" customHeight="1" x14ac:dyDescent="0.2">
      <c r="C32" s="12">
        <v>1</v>
      </c>
      <c r="D32" s="38" t="str">
        <v>*</v>
      </c>
      <c r="E32" s="14" t="str">
        <v xml:space="preserve">Lara 
</v>
      </c>
      <c r="F32" s="14" t="str">
        <v>Enrique</v>
      </c>
      <c r="G32" s="17">
        <v>181046</v>
      </c>
      <c r="H32" s="23"/>
      <c r="I32" s="12">
        <v>0</v>
      </c>
      <c r="J32" s="38">
        <v>185510</v>
      </c>
      <c r="K32" s="14" t="str">
        <v xml:space="preserve">Sylvester 
</v>
      </c>
      <c r="L32" s="14" t="str">
        <v>Darius</v>
      </c>
      <c r="M32" s="5">
        <v>185510</v>
      </c>
    </row>
    <row r="33" spans="3:13" ht="18.75" customHeight="1" x14ac:dyDescent="0.2">
      <c r="C33" s="12">
        <v>1</v>
      </c>
      <c r="D33" s="38">
        <v>185424</v>
      </c>
      <c r="E33" s="14" t="str">
        <v xml:space="preserve">Laughlin 
</v>
      </c>
      <c r="F33" s="14" t="str">
        <v>Brooks</v>
      </c>
      <c r="G33" s="17">
        <v>185424</v>
      </c>
      <c r="H33" s="23"/>
      <c r="I33" s="12">
        <v>0</v>
      </c>
      <c r="J33" s="38">
        <v>185516</v>
      </c>
      <c r="K33" s="14" t="str">
        <v xml:space="preserve">Truong 
</v>
      </c>
      <c r="L33" s="14" t="str">
        <v>Minh</v>
      </c>
      <c r="M33" s="5">
        <v>185516</v>
      </c>
    </row>
    <row r="34" spans="3:13" ht="18.75" customHeight="1" x14ac:dyDescent="0.2">
      <c r="C34" s="12">
        <v>1</v>
      </c>
      <c r="D34" s="38" t="str">
        <v>*</v>
      </c>
      <c r="E34" s="14" t="str">
        <v xml:space="preserve">Mallet 
</v>
      </c>
      <c r="F34" s="14" t="str">
        <v>Lawrence</v>
      </c>
      <c r="G34" s="17">
        <v>183432</v>
      </c>
      <c r="H34" s="23"/>
      <c r="I34" s="12">
        <v>0</v>
      </c>
      <c r="J34" s="38">
        <v>185522</v>
      </c>
      <c r="K34" s="14" t="str">
        <v xml:space="preserve">Walker 
</v>
      </c>
      <c r="L34" s="14" t="str">
        <v>Jamichael</v>
      </c>
      <c r="M34" s="5">
        <v>185522</v>
      </c>
    </row>
    <row r="35" spans="3:13" ht="18.75" customHeight="1" x14ac:dyDescent="0.2">
      <c r="C35" s="12">
        <v>1</v>
      </c>
      <c r="D35" s="38" t="str">
        <v>*</v>
      </c>
      <c r="E35" s="14" t="str">
        <v xml:space="preserve">Martinez 
</v>
      </c>
      <c r="F35" s="14" t="str">
        <v>Antonio</v>
      </c>
      <c r="G35" s="17">
        <v>185465</v>
      </c>
      <c r="H35" s="23"/>
      <c r="I35" s="12"/>
      <c r="J35" s="38"/>
      <c r="K35" s="14"/>
      <c r="L35" s="14"/>
      <c r="M35" s="5"/>
    </row>
    <row r="36" spans="3:13" ht="18.75" customHeight="1" x14ac:dyDescent="0.2">
      <c r="C36" s="12">
        <v>1</v>
      </c>
      <c r="D36" s="38">
        <v>185467</v>
      </c>
      <c r="E36" s="14" t="str">
        <v xml:space="preserve">Martinez 
</v>
      </c>
      <c r="F36" s="14" t="str">
        <v>Jonathan</v>
      </c>
      <c r="G36" s="17">
        <v>185467</v>
      </c>
      <c r="H36" s="23"/>
      <c r="I36" s="12"/>
      <c r="J36" s="38"/>
      <c r="K36" s="4"/>
      <c r="L36" s="24"/>
      <c r="M36" s="5"/>
    </row>
    <row r="37" spans="3:13" ht="18.75" customHeight="1" x14ac:dyDescent="0.2">
      <c r="C37" s="12">
        <v>1</v>
      </c>
      <c r="D37" s="38">
        <v>185466</v>
      </c>
      <c r="E37" s="14" t="str">
        <v xml:space="preserve">Martinez 
</v>
      </c>
      <c r="F37" s="14" t="str">
        <v>Jason</v>
      </c>
      <c r="G37" s="17">
        <v>185466</v>
      </c>
      <c r="H37" s="23"/>
      <c r="I37" s="12"/>
      <c r="J37" s="38"/>
      <c r="K37" s="14"/>
      <c r="L37" s="14"/>
      <c r="M37" s="5"/>
    </row>
    <row r="38" spans="3:13" ht="18.75" customHeight="1" x14ac:dyDescent="0.2">
      <c r="C38" s="12">
        <v>1</v>
      </c>
      <c r="D38" s="38">
        <v>185470</v>
      </c>
      <c r="E38" s="14" t="str">
        <v xml:space="preserve">Matera 
</v>
      </c>
      <c r="F38" s="14" t="str">
        <v>Nicholas</v>
      </c>
      <c r="G38" s="17">
        <v>185470</v>
      </c>
      <c r="H38" s="23"/>
      <c r="I38" s="12"/>
      <c r="J38" s="38"/>
      <c r="K38" s="14"/>
      <c r="L38" s="14"/>
      <c r="M38" s="5"/>
    </row>
    <row r="39" spans="3:13" ht="18.75" customHeight="1" x14ac:dyDescent="0.2">
      <c r="C39" s="12">
        <v>1</v>
      </c>
      <c r="D39" s="38">
        <v>185472</v>
      </c>
      <c r="E39" s="14" t="str">
        <v xml:space="preserve">Mccarther 
</v>
      </c>
      <c r="F39" s="14" t="str">
        <v>Kevin</v>
      </c>
      <c r="G39" s="17">
        <v>185472</v>
      </c>
      <c r="H39" s="23"/>
      <c r="I39" s="12"/>
      <c r="J39" s="38"/>
      <c r="K39" s="14"/>
      <c r="L39" s="14"/>
      <c r="M39" s="5"/>
    </row>
    <row r="40" spans="3:13" ht="18.75" customHeight="1" x14ac:dyDescent="0.2">
      <c r="C40" s="12">
        <v>1</v>
      </c>
      <c r="D40" s="38">
        <v>185534</v>
      </c>
      <c r="E40" s="14" t="str">
        <v xml:space="preserve">Medina 
</v>
      </c>
      <c r="F40" s="14" t="str">
        <v>Orlando</v>
      </c>
      <c r="G40" s="17">
        <v>185534</v>
      </c>
      <c r="H40" s="23"/>
      <c r="I40" s="12"/>
      <c r="J40" s="38"/>
      <c r="K40" s="14"/>
      <c r="L40" s="14"/>
      <c r="M40" s="5"/>
    </row>
    <row r="41" spans="3:13" ht="18.75" customHeight="1" x14ac:dyDescent="0.2">
      <c r="C41" s="12">
        <v>1</v>
      </c>
      <c r="D41" s="38" t="str">
        <v>*</v>
      </c>
      <c r="E41" s="14" t="str">
        <v xml:space="preserve">Mee 
</v>
      </c>
      <c r="F41" s="14" t="str">
        <v>Andrew</v>
      </c>
      <c r="G41" s="17">
        <v>185475</v>
      </c>
      <c r="H41" s="23"/>
      <c r="I41" s="12"/>
      <c r="J41" s="38"/>
      <c r="K41" s="14"/>
      <c r="L41" s="14"/>
      <c r="M41" s="5"/>
    </row>
    <row r="42" spans="3:13" ht="18.75" customHeight="1" x14ac:dyDescent="0.2">
      <c r="C42" s="12">
        <v>1</v>
      </c>
      <c r="D42" s="38" t="str">
        <v>*</v>
      </c>
      <c r="E42" s="14" t="str">
        <v xml:space="preserve">Mika 
</v>
      </c>
      <c r="F42" s="14" t="str">
        <v>Antone</v>
      </c>
      <c r="G42" s="17">
        <v>185476</v>
      </c>
      <c r="H42" s="23"/>
      <c r="I42" s="12"/>
      <c r="J42" s="38"/>
      <c r="K42" s="14"/>
      <c r="L42" s="14"/>
      <c r="M42" s="5"/>
    </row>
    <row r="43" spans="3:13" ht="18.75" customHeight="1" x14ac:dyDescent="0.2">
      <c r="C43" s="12">
        <v>1</v>
      </c>
      <c r="D43" s="38">
        <v>185480</v>
      </c>
      <c r="E43" s="14" t="str">
        <v xml:space="preserve">Muniz Rodriguez 
</v>
      </c>
      <c r="F43" s="14" t="str">
        <v>Ivan</v>
      </c>
      <c r="G43" s="17">
        <v>185480</v>
      </c>
      <c r="H43" s="23"/>
      <c r="I43" s="12"/>
      <c r="J43" s="38"/>
      <c r="K43" s="14"/>
      <c r="L43" s="26"/>
      <c r="M43" s="5"/>
    </row>
    <row r="44" spans="3:13" ht="18.75" customHeight="1" x14ac:dyDescent="0.2">
      <c r="C44" s="12">
        <v>1</v>
      </c>
      <c r="D44" s="39">
        <v>185481</v>
      </c>
      <c r="E44" s="26" t="str">
        <v xml:space="preserve">Myles 
</v>
      </c>
      <c r="F44" s="26" t="str">
        <v>Devonte</v>
      </c>
      <c r="G44" s="27">
        <v>185481</v>
      </c>
      <c r="H44" s="23"/>
      <c r="I44" s="32"/>
      <c r="J44" s="39"/>
      <c r="K44" s="26"/>
      <c r="L44" s="4"/>
      <c r="M44" s="6"/>
    </row>
    <row r="45" spans="3:13" ht="18.75" customHeight="1" x14ac:dyDescent="0.2">
      <c r="C45" s="12">
        <v>1</v>
      </c>
      <c r="D45" s="40" t="str">
        <v>*</v>
      </c>
      <c r="E45" s="4" t="str">
        <v xml:space="preserve">Nunn 
</v>
      </c>
      <c r="F45" s="4" t="str">
        <v>Colby</v>
      </c>
      <c r="G45" s="5">
        <v>185483</v>
      </c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50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42" priority="5">
      <formula>$C6=0</formula>
    </cfRule>
  </conditionalFormatting>
  <conditionalFormatting sqref="K6:M47">
    <cfRule type="expression" dxfId="41" priority="4">
      <formula>$I6=0</formula>
    </cfRule>
  </conditionalFormatting>
  <conditionalFormatting sqref="C6:D47">
    <cfRule type="expression" dxfId="40" priority="2">
      <formula>$D6="*"</formula>
    </cfRule>
  </conditionalFormatting>
  <conditionalFormatting sqref="I6:J47">
    <cfRule type="expression" dxfId="39" priority="1">
      <formula>$J6="*"</formula>
    </cfRule>
  </conditionalFormatting>
  <conditionalFormatting sqref="K37">
    <cfRule type="expression" dxfId="38" priority="8">
      <formula>$I36=0</formula>
    </cfRule>
  </conditionalFormatting>
  <pageMargins left="0.5" right="0" top="0.35" bottom="0" header="0.3" footer="0.3"/>
  <pageSetup scale="91" firstPageNumber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0012D-EB35-4F36-8906-93BE16AE5905}">
  <sheetPr codeName="Sheet15">
    <tabColor theme="7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C3" sqref="C3: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22</v>
      </c>
    </row>
    <row r="2" spans="3:13" ht="3.75" customHeight="1" x14ac:dyDescent="0.2"/>
    <row r="3" spans="3:13" ht="30" customHeight="1" x14ac:dyDescent="0.4">
      <c r="C3" s="76" t="s">
        <v>658</v>
      </c>
      <c r="D3" s="77"/>
      <c r="E3" s="77"/>
      <c r="F3" s="77"/>
      <c r="G3" s="77"/>
      <c r="H3" s="77"/>
      <c r="I3" s="77"/>
      <c r="J3" s="77"/>
      <c r="K3" s="77"/>
      <c r="L3" s="77"/>
      <c r="M3" s="78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33">_2026J[[No.]:[PR'#]]</f>
        <v>1</v>
      </c>
      <c r="D6" s="38">
        <v>0</v>
      </c>
      <c r="E6" s="14" t="str">
        <v xml:space="preserve">Anderson 
</v>
      </c>
      <c r="F6" s="14" t="str">
        <v>Zoe</v>
      </c>
      <c r="G6" s="17">
        <v>185878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1</v>
      </c>
      <c r="E7" s="14" t="str">
        <v xml:space="preserve">Arceneaux 
</v>
      </c>
      <c r="F7" s="14" t="str">
        <v>Devin</v>
      </c>
      <c r="G7" s="17">
        <v>185879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 xml:space="preserve">Cantu 
</v>
      </c>
      <c r="F8" s="14" t="str">
        <v>Eduardo</v>
      </c>
      <c r="G8" s="17">
        <v>185880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 xml:space="preserve">Cerda 
</v>
      </c>
      <c r="F9" s="14" t="str">
        <v>Elijah</v>
      </c>
      <c r="G9" s="17">
        <v>185881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0</v>
      </c>
      <c r="D10" s="38">
        <v>4</v>
      </c>
      <c r="E10" s="14" t="str">
        <v xml:space="preserve">Chavez 
</v>
      </c>
      <c r="F10" s="14" t="str">
        <v>Shaston</v>
      </c>
      <c r="G10" s="17">
        <v>185925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 xml:space="preserve">Craig 
</v>
      </c>
      <c r="F11" s="14" t="str">
        <v>Declan</v>
      </c>
      <c r="G11" s="17">
        <v>185884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 xml:space="preserve">De France 
</v>
      </c>
      <c r="F12" s="14" t="str">
        <v>Caleb</v>
      </c>
      <c r="G12" s="17">
        <v>185882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 xml:space="preserve">Del Valle 
</v>
      </c>
      <c r="F13" s="14" t="str">
        <v>Guillermo</v>
      </c>
      <c r="G13" s="17">
        <v>185894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8</v>
      </c>
      <c r="E14" s="14" t="str">
        <v xml:space="preserve">Goodwin 
</v>
      </c>
      <c r="F14" s="14" t="str">
        <v>Truman</v>
      </c>
      <c r="G14" s="17">
        <v>185886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 xml:space="preserve">Grizzaffi 
</v>
      </c>
      <c r="F15" s="14" t="str">
        <v>Frank</v>
      </c>
      <c r="G15" s="17">
        <v>185912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10</v>
      </c>
      <c r="E16" s="14" t="str">
        <v xml:space="preserve">Guzman 
</v>
      </c>
      <c r="F16" s="14" t="str">
        <v>Jose</v>
      </c>
      <c r="G16" s="17">
        <v>185887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 xml:space="preserve">Hoskins 
</v>
      </c>
      <c r="F17" s="14" t="str">
        <v>Devin</v>
      </c>
      <c r="G17" s="17">
        <v>185897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 xml:space="preserve">Jones 
</v>
      </c>
      <c r="F18" s="14" t="str">
        <v>Xavier</v>
      </c>
      <c r="G18" s="17">
        <v>185913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 xml:space="preserve">Lester 
</v>
      </c>
      <c r="F19" s="14" t="str">
        <v>Alphonso</v>
      </c>
      <c r="G19" s="17">
        <v>185899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14</v>
      </c>
      <c r="E20" s="14" t="str">
        <v xml:space="preserve">Lopez 
</v>
      </c>
      <c r="F20" s="14" t="str">
        <v>Diego</v>
      </c>
      <c r="G20" s="17">
        <v>185914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15</v>
      </c>
      <c r="E21" s="14" t="str">
        <v xml:space="preserve">Marion 
</v>
      </c>
      <c r="F21" s="14" t="str">
        <v>Emanuel</v>
      </c>
      <c r="G21" s="17">
        <v>181415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1</v>
      </c>
      <c r="D22" s="38">
        <v>16</v>
      </c>
      <c r="E22" s="14" t="str">
        <v xml:space="preserve">Martinez 
</v>
      </c>
      <c r="F22" s="14" t="str">
        <v>Julian</v>
      </c>
      <c r="G22" s="17">
        <v>185915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>
        <v>1</v>
      </c>
      <c r="D23" s="38">
        <v>17</v>
      </c>
      <c r="E23" s="14" t="str">
        <v xml:space="preserve">McMillian 
</v>
      </c>
      <c r="F23" s="14" t="str">
        <v>Keshon</v>
      </c>
      <c r="G23" s="17">
        <v>185926</v>
      </c>
      <c r="H23" s="21"/>
      <c r="I23" s="12"/>
      <c r="J23" s="38"/>
      <c r="K23" s="14"/>
      <c r="L23" s="14"/>
      <c r="M23" s="5"/>
    </row>
    <row r="24" spans="3:13" ht="18.75" customHeight="1" x14ac:dyDescent="0.2">
      <c r="C24" s="12">
        <v>0</v>
      </c>
      <c r="D24" s="38">
        <v>18</v>
      </c>
      <c r="E24" s="14" t="str">
        <v xml:space="preserve">Munoz 
</v>
      </c>
      <c r="F24" s="14" t="str">
        <v>Vincent</v>
      </c>
      <c r="G24" s="17">
        <v>184324</v>
      </c>
      <c r="H24" s="23"/>
      <c r="I24" s="12"/>
      <c r="J24" s="38"/>
      <c r="K24" s="14"/>
      <c r="L24" s="14"/>
      <c r="M24" s="5"/>
    </row>
    <row r="25" spans="3:13" ht="18.75" customHeight="1" x14ac:dyDescent="0.2">
      <c r="C25" s="12">
        <v>1</v>
      </c>
      <c r="D25" s="38">
        <v>19</v>
      </c>
      <c r="E25" s="14" t="str">
        <v xml:space="preserve">Osorio 
</v>
      </c>
      <c r="F25" s="14" t="str">
        <v>Randolph</v>
      </c>
      <c r="G25" s="17">
        <v>185918</v>
      </c>
      <c r="H25" s="23"/>
      <c r="I25" s="12"/>
      <c r="J25" s="38"/>
      <c r="K25" s="14"/>
      <c r="L25" s="14"/>
      <c r="M25" s="5"/>
    </row>
    <row r="26" spans="3:13" ht="18.75" customHeight="1" x14ac:dyDescent="0.2">
      <c r="C26" s="12">
        <v>1</v>
      </c>
      <c r="D26" s="38">
        <v>20</v>
      </c>
      <c r="E26" s="14" t="str">
        <v xml:space="preserve">Pardillo 
</v>
      </c>
      <c r="F26" s="14" t="str">
        <v>Ivan</v>
      </c>
      <c r="G26" s="17">
        <v>185919</v>
      </c>
      <c r="H26" s="23"/>
      <c r="I26" s="12"/>
      <c r="J26" s="38"/>
      <c r="K26" s="14"/>
      <c r="L26" s="14"/>
      <c r="M26" s="5"/>
    </row>
    <row r="27" spans="3:13" ht="18.75" customHeight="1" x14ac:dyDescent="0.2">
      <c r="C27" s="12">
        <v>1</v>
      </c>
      <c r="D27" s="38">
        <v>21</v>
      </c>
      <c r="E27" s="14" t="str">
        <v xml:space="preserve">Petro 
</v>
      </c>
      <c r="F27" s="14" t="str">
        <v>Sergio</v>
      </c>
      <c r="G27" s="17">
        <v>185922</v>
      </c>
      <c r="H27" s="23"/>
      <c r="I27" s="12"/>
      <c r="J27" s="38"/>
      <c r="K27" s="14"/>
      <c r="L27" s="14"/>
      <c r="M27" s="5"/>
    </row>
    <row r="28" spans="3:13" ht="18.75" customHeight="1" x14ac:dyDescent="0.2">
      <c r="C28" s="12">
        <v>1</v>
      </c>
      <c r="D28" s="38">
        <v>22</v>
      </c>
      <c r="E28" s="14" t="str">
        <v xml:space="preserve">Sanders 
</v>
      </c>
      <c r="F28" s="14" t="str">
        <v>Caleb</v>
      </c>
      <c r="G28" s="17">
        <v>185889</v>
      </c>
      <c r="H28" s="23"/>
      <c r="I28" s="12"/>
      <c r="J28" s="38"/>
      <c r="K28" s="14"/>
      <c r="L28" s="14"/>
      <c r="M28" s="5"/>
    </row>
    <row r="29" spans="3:13" ht="18.75" customHeight="1" x14ac:dyDescent="0.2">
      <c r="C29" s="12">
        <v>1</v>
      </c>
      <c r="D29" s="38">
        <v>23</v>
      </c>
      <c r="E29" s="14" t="str">
        <v xml:space="preserve">Sarmiento 
</v>
      </c>
      <c r="F29" s="14" t="str">
        <v>Diego</v>
      </c>
      <c r="G29" s="17">
        <v>185924</v>
      </c>
      <c r="H29" s="23"/>
      <c r="I29" s="12"/>
      <c r="J29" s="38"/>
      <c r="K29" s="14"/>
      <c r="L29" s="14"/>
      <c r="M29" s="5"/>
    </row>
    <row r="30" spans="3:13" ht="18.75" customHeight="1" x14ac:dyDescent="0.2">
      <c r="C30" s="12">
        <v>0</v>
      </c>
      <c r="D30" s="38">
        <v>24</v>
      </c>
      <c r="E30" s="14" t="str">
        <v xml:space="preserve">Spencer 
</v>
      </c>
      <c r="F30" s="14" t="str">
        <v>Ashley</v>
      </c>
      <c r="G30" s="17">
        <v>185927</v>
      </c>
      <c r="H30" s="23"/>
      <c r="I30" s="12"/>
      <c r="J30" s="38"/>
      <c r="K30" s="14"/>
      <c r="L30" s="14"/>
      <c r="M30" s="5"/>
    </row>
    <row r="31" spans="3:13" ht="18.75" customHeight="1" x14ac:dyDescent="0.2">
      <c r="C31" s="12">
        <v>1</v>
      </c>
      <c r="D31" s="38">
        <v>25</v>
      </c>
      <c r="E31" s="14" t="str">
        <v xml:space="preserve">Vera 
</v>
      </c>
      <c r="F31" s="14" t="str">
        <v>Thomas</v>
      </c>
      <c r="G31" s="17">
        <v>185900</v>
      </c>
      <c r="H31" s="23"/>
      <c r="I31" s="12"/>
      <c r="J31" s="38"/>
      <c r="K31" s="14"/>
      <c r="L31" s="14"/>
      <c r="M31" s="5"/>
    </row>
    <row r="32" spans="3:13" ht="18.75" customHeight="1" x14ac:dyDescent="0.2">
      <c r="C32" s="12">
        <v>1</v>
      </c>
      <c r="D32" s="38">
        <v>26</v>
      </c>
      <c r="E32" s="14" t="str">
        <v xml:space="preserve">Washington 
</v>
      </c>
      <c r="F32" s="14" t="str">
        <v>Marshall</v>
      </c>
      <c r="G32" s="17">
        <v>185929</v>
      </c>
      <c r="H32" s="23"/>
      <c r="I32" s="12"/>
      <c r="J32" s="38"/>
      <c r="K32" s="14"/>
      <c r="L32" s="14"/>
      <c r="M32" s="5"/>
    </row>
    <row r="33" spans="3:13" ht="18.75" customHeight="1" x14ac:dyDescent="0.2">
      <c r="C33" s="12">
        <v>1</v>
      </c>
      <c r="D33" s="38">
        <v>27</v>
      </c>
      <c r="E33" s="14" t="str">
        <v xml:space="preserve">Ybarra 
</v>
      </c>
      <c r="F33" s="14" t="str">
        <v>Cooper</v>
      </c>
      <c r="G33" s="17">
        <v>185902</v>
      </c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22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26" priority="4">
      <formula>$C6=0</formula>
    </cfRule>
  </conditionalFormatting>
  <conditionalFormatting sqref="K6:M47">
    <cfRule type="expression" dxfId="25" priority="3">
      <formula>$I6=0</formula>
    </cfRule>
  </conditionalFormatting>
  <conditionalFormatting sqref="C6:D47">
    <cfRule type="expression" dxfId="24" priority="2">
      <formula>$D6="*"</formula>
    </cfRule>
  </conditionalFormatting>
  <conditionalFormatting sqref="I6:J47">
    <cfRule type="expression" dxfId="23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C60D-FF04-4AB3-9950-6F253153BE7A}">
  <sheetPr codeName="Sheet6">
    <tabColor theme="1"/>
  </sheetPr>
  <dimension ref="A1:F26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24.28515625" customWidth="1"/>
    <col min="2" max="3" width="9.140625" customWidth="1"/>
    <col min="4" max="4" width="19.7109375" customWidth="1"/>
    <col min="5" max="5" width="25.7109375" customWidth="1"/>
    <col min="6" max="6" width="24.28515625" customWidth="1"/>
    <col min="7" max="16384" width="9.140625" hidden="1"/>
  </cols>
  <sheetData>
    <row r="1" spans="2:5" ht="120" customHeight="1" x14ac:dyDescent="0.25"/>
    <row r="2" spans="2:5" ht="19.5" customHeight="1" x14ac:dyDescent="0.25">
      <c r="B2" s="28" t="s">
        <v>129</v>
      </c>
      <c r="C2" s="29">
        <f>'2026 D'!M48</f>
        <v>52</v>
      </c>
      <c r="D2" s="30">
        <v>46366</v>
      </c>
      <c r="E2" s="4" t="s">
        <v>565</v>
      </c>
    </row>
    <row r="3" spans="2:5" ht="19.5" customHeight="1" x14ac:dyDescent="0.25">
      <c r="B3" s="7" t="s">
        <v>358</v>
      </c>
      <c r="C3" s="15">
        <f>'2026 G'!M48</f>
        <v>15</v>
      </c>
      <c r="D3" s="16">
        <v>46338</v>
      </c>
      <c r="E3" s="4" t="s">
        <v>59</v>
      </c>
    </row>
    <row r="4" spans="2:5" ht="19.5" customHeight="1" x14ac:dyDescent="0.25">
      <c r="B4" s="58" t="s">
        <v>482</v>
      </c>
      <c r="C4" s="59">
        <f>SUM('2026 H'!C6:C47,'2026 H'!I6:I47)</f>
        <v>50</v>
      </c>
      <c r="D4" s="60">
        <v>46436</v>
      </c>
      <c r="E4" s="4" t="s">
        <v>564</v>
      </c>
    </row>
    <row r="5" spans="2:5" ht="19.5" customHeight="1" x14ac:dyDescent="0.25">
      <c r="B5" s="7" t="s">
        <v>568</v>
      </c>
      <c r="C5" s="15">
        <f>'2026 I'!M48</f>
        <v>12</v>
      </c>
      <c r="D5" s="16">
        <v>46338</v>
      </c>
      <c r="E5" s="4"/>
    </row>
    <row r="6" spans="2:5" ht="19.5" customHeight="1" x14ac:dyDescent="0.25">
      <c r="B6" s="58" t="s">
        <v>658</v>
      </c>
      <c r="C6" s="59">
        <f>'2026 J'!M48</f>
        <v>22</v>
      </c>
      <c r="D6" s="60">
        <v>46436</v>
      </c>
      <c r="E6" s="4"/>
    </row>
    <row r="7" spans="2:5" x14ac:dyDescent="0.25"/>
    <row r="8" spans="2:5" ht="24.75" x14ac:dyDescent="0.5">
      <c r="B8" s="10" t="s">
        <v>60</v>
      </c>
      <c r="C8" s="9">
        <f>SUM(C2:C6)</f>
        <v>151</v>
      </c>
    </row>
    <row r="9" spans="2:5" x14ac:dyDescent="0.25"/>
    <row r="10" spans="2:5" x14ac:dyDescent="0.25"/>
    <row r="11" spans="2:5" x14ac:dyDescent="0.25"/>
    <row r="12" spans="2:5" ht="120" customHeight="1" x14ac:dyDescent="0.25"/>
    <row r="15" spans="2:5" x14ac:dyDescent="0.25"/>
    <row r="16" spans="2:5" x14ac:dyDescent="0.25"/>
    <row r="17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selectLockedCells="1" selectUn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4F60-453C-45D9-8269-645E24523395}">
  <sheetPr codeName="Sheet9"/>
  <dimension ref="A1:AH40"/>
  <sheetViews>
    <sheetView showGridLines="0" showRowColHeaders="0" tabSelected="1" topLeftCell="M1" workbookViewId="0">
      <selection activeCell="Y20" sqref="Y20"/>
    </sheetView>
  </sheetViews>
  <sheetFormatPr defaultRowHeight="15" x14ac:dyDescent="0.25"/>
  <cols>
    <col min="2" max="2" width="1.42578125" customWidth="1"/>
    <col min="3" max="4" width="11.5703125" customWidth="1"/>
    <col min="5" max="5" width="11.5703125" style="56" customWidth="1"/>
    <col min="7" max="7" width="1.42578125" customWidth="1"/>
    <col min="8" max="9" width="11.5703125" customWidth="1"/>
    <col min="10" max="10" width="11.5703125" style="56" customWidth="1"/>
    <col min="12" max="12" width="1.42578125" customWidth="1"/>
    <col min="13" max="14" width="11.5703125" customWidth="1"/>
    <col min="15" max="15" width="11.5703125" style="56" customWidth="1"/>
    <col min="17" max="17" width="1.42578125" customWidth="1"/>
    <col min="18" max="19" width="11.5703125" customWidth="1"/>
    <col min="20" max="20" width="11.5703125" style="56" customWidth="1"/>
    <col min="22" max="22" width="1.42578125" customWidth="1"/>
    <col min="23" max="24" width="11.5703125" customWidth="1"/>
    <col min="25" max="25" width="11.5703125" style="56" customWidth="1"/>
  </cols>
  <sheetData>
    <row r="1" spans="1:34" s="45" customFormat="1" ht="15.75" x14ac:dyDescent="0.25">
      <c r="E1" s="46"/>
      <c r="J1" s="46"/>
      <c r="O1" s="46"/>
      <c r="T1" s="46"/>
      <c r="Y1" s="46"/>
    </row>
    <row r="2" spans="1:34" s="47" customFormat="1" ht="15.75" x14ac:dyDescent="0.25">
      <c r="A2" s="47" t="str" cm="1">
        <f t="array" ref="A2:AH40">IF([1]Resigned!$A$1:$AH$39="","",[1]Resigned!$A$1:$AH$39)</f>
        <v/>
      </c>
      <c r="B2" s="47" t="str">
        <v/>
      </c>
      <c r="C2" s="47" t="str">
        <v/>
      </c>
      <c r="D2" s="47" t="str">
        <v>2026D</v>
      </c>
      <c r="E2" s="47">
        <v>24</v>
      </c>
      <c r="F2" s="47" t="str">
        <v/>
      </c>
      <c r="G2" s="47" t="str">
        <v/>
      </c>
      <c r="H2" s="47" t="str">
        <v/>
      </c>
      <c r="I2" s="47" t="str">
        <v>2026G</v>
      </c>
      <c r="J2" s="47">
        <v>8</v>
      </c>
      <c r="K2" s="47" t="str">
        <v/>
      </c>
      <c r="L2" s="47" t="str">
        <v/>
      </c>
      <c r="M2" s="47" t="str">
        <v/>
      </c>
      <c r="N2" s="47" t="str">
        <v>2026H</v>
      </c>
      <c r="O2" s="47">
        <v>18</v>
      </c>
      <c r="P2" s="47" t="str">
        <v/>
      </c>
      <c r="Q2" s="47" t="str">
        <v/>
      </c>
      <c r="R2" s="47" t="str">
        <v/>
      </c>
      <c r="S2" s="47" t="str">
        <v>2026I</v>
      </c>
      <c r="T2" s="47">
        <v>5</v>
      </c>
      <c r="U2" s="47" t="str">
        <v/>
      </c>
      <c r="V2" s="47" t="str">
        <v/>
      </c>
      <c r="W2" s="47" t="str">
        <v/>
      </c>
      <c r="X2" s="47" t="str">
        <v>2026J</v>
      </c>
      <c r="Y2" s="47">
        <v>5</v>
      </c>
      <c r="Z2" s="47" t="str">
        <v/>
      </c>
      <c r="AA2" s="47" t="str">
        <v/>
      </c>
      <c r="AB2" s="47" t="str">
        <v/>
      </c>
      <c r="AC2" s="47" t="str">
        <v/>
      </c>
      <c r="AD2" s="47" t="str">
        <v/>
      </c>
      <c r="AE2" s="47" t="str">
        <v/>
      </c>
      <c r="AF2" s="47" t="str">
        <v/>
      </c>
      <c r="AG2" s="47" t="str">
        <v/>
      </c>
      <c r="AH2" s="47" t="str">
        <v/>
      </c>
    </row>
    <row r="3" spans="1:34" x14ac:dyDescent="0.25">
      <c r="A3" t="str">
        <v/>
      </c>
      <c r="B3" t="str">
        <v/>
      </c>
      <c r="C3" s="48" t="str">
        <v>Last Name</v>
      </c>
      <c r="D3" s="48" t="str">
        <v>First Name</v>
      </c>
      <c r="E3" s="49" t="str">
        <v>Date created</v>
      </c>
      <c r="F3" t="str">
        <v/>
      </c>
      <c r="G3" t="str">
        <v/>
      </c>
      <c r="H3" s="50" t="str">
        <v>Last Name</v>
      </c>
      <c r="I3" s="50" t="str">
        <v>First Name</v>
      </c>
      <c r="J3" s="51" t="str">
        <v>Date created</v>
      </c>
      <c r="K3" t="str">
        <v/>
      </c>
      <c r="L3" t="str">
        <v/>
      </c>
      <c r="M3" s="52" t="str">
        <v>LastName</v>
      </c>
      <c r="N3" s="52" t="str">
        <v>FirstName</v>
      </c>
      <c r="O3" s="53" t="str">
        <v>Date created</v>
      </c>
      <c r="P3" t="str">
        <v/>
      </c>
      <c r="Q3" t="str">
        <v/>
      </c>
      <c r="R3" s="52" t="str">
        <v>Last Name</v>
      </c>
      <c r="S3" s="52" t="str">
        <v>First Name</v>
      </c>
      <c r="T3" s="53" t="str">
        <v>Date created</v>
      </c>
      <c r="U3" t="str">
        <v/>
      </c>
      <c r="V3" t="str">
        <v/>
      </c>
      <c r="W3" s="54" t="str">
        <v>Last Name</v>
      </c>
      <c r="X3" s="54" t="str">
        <v>First Name</v>
      </c>
      <c r="Y3" s="55" t="str">
        <v>Date created</v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</row>
    <row r="4" spans="1:34" x14ac:dyDescent="0.25">
      <c r="A4" t="str">
        <v/>
      </c>
      <c r="B4" t="str">
        <v>*</v>
      </c>
      <c r="C4" t="str">
        <v>Andrade</v>
      </c>
      <c r="D4" t="str">
        <v>Cristian</v>
      </c>
      <c r="E4" s="56">
        <v>46127</v>
      </c>
      <c r="F4" t="str">
        <v/>
      </c>
      <c r="G4" t="str">
        <v>*</v>
      </c>
      <c r="H4" t="str">
        <v>McBride</v>
      </c>
      <c r="I4" t="str">
        <v>Andrew</v>
      </c>
      <c r="J4" s="56">
        <v>46198</v>
      </c>
      <c r="K4" t="str">
        <v/>
      </c>
      <c r="L4" t="str">
        <v>*</v>
      </c>
      <c r="M4" t="str">
        <v>Truong</v>
      </c>
      <c r="N4" t="str">
        <v>Minh</v>
      </c>
      <c r="O4" s="56">
        <v>46195</v>
      </c>
      <c r="P4" t="str">
        <v/>
      </c>
      <c r="Q4" t="str">
        <v>*</v>
      </c>
      <c r="R4" t="str">
        <v>Ceeney</v>
      </c>
      <c r="S4" t="str">
        <v xml:space="preserve">Charles </v>
      </c>
      <c r="T4" s="56">
        <v>46275</v>
      </c>
      <c r="U4" t="str">
        <v/>
      </c>
      <c r="V4" t="str">
        <v>*</v>
      </c>
      <c r="W4" t="str">
        <v>Marion</v>
      </c>
      <c r="X4" t="str">
        <v xml:space="preserve">Emanuel </v>
      </c>
      <c r="Y4" s="56">
        <v>46275</v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</row>
    <row r="5" spans="1:34" x14ac:dyDescent="0.25">
      <c r="A5" t="str">
        <v/>
      </c>
      <c r="B5" t="str">
        <v>*</v>
      </c>
      <c r="C5" t="str">
        <v>Boettcher</v>
      </c>
      <c r="D5" t="str">
        <v>Cleo</v>
      </c>
      <c r="E5" s="56">
        <v>46128</v>
      </c>
      <c r="F5" t="str">
        <v/>
      </c>
      <c r="G5" t="str">
        <v>*</v>
      </c>
      <c r="H5" t="str">
        <v>Ponce</v>
      </c>
      <c r="I5" t="str">
        <v>Angel.pdf</v>
      </c>
      <c r="J5" s="56">
        <v>46230</v>
      </c>
      <c r="K5" t="str">
        <v/>
      </c>
      <c r="L5" t="str">
        <v>*</v>
      </c>
      <c r="M5" t="str">
        <v>Federowicz</v>
      </c>
      <c r="N5" t="str">
        <v>Daniel</v>
      </c>
      <c r="O5" s="56">
        <v>46197</v>
      </c>
      <c r="P5" t="str">
        <v/>
      </c>
      <c r="Q5" t="str">
        <v>*</v>
      </c>
      <c r="R5" t="str">
        <v>Visser</v>
      </c>
      <c r="S5" t="str">
        <v xml:space="preserve">Jesse </v>
      </c>
      <c r="T5" s="56">
        <v>46280</v>
      </c>
      <c r="U5" t="str">
        <v/>
      </c>
      <c r="V5" t="str">
        <v>*</v>
      </c>
      <c r="W5" t="str">
        <v>Jones</v>
      </c>
      <c r="X5" t="str">
        <v xml:space="preserve">Xavier </v>
      </c>
      <c r="Y5" s="56">
        <v>46280</v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</row>
    <row r="6" spans="1:34" x14ac:dyDescent="0.25">
      <c r="A6" t="str">
        <v/>
      </c>
      <c r="B6" t="str">
        <v>*</v>
      </c>
      <c r="C6" t="str">
        <v>Saucedo</v>
      </c>
      <c r="D6" t="str">
        <v>Christopher</v>
      </c>
      <c r="E6" s="56">
        <v>46134</v>
      </c>
      <c r="F6" t="str">
        <v/>
      </c>
      <c r="G6" t="str">
        <v>*</v>
      </c>
      <c r="H6" t="str">
        <v>Guerrero</v>
      </c>
      <c r="I6" t="str">
        <v>Miguel</v>
      </c>
      <c r="J6" s="56">
        <v>46245</v>
      </c>
      <c r="K6" t="str">
        <v/>
      </c>
      <c r="L6" t="str">
        <v>*</v>
      </c>
      <c r="M6" t="str">
        <v>Rubio-Zavala</v>
      </c>
      <c r="N6" t="str">
        <v>Efren</v>
      </c>
      <c r="O6" s="56">
        <v>46197</v>
      </c>
      <c r="P6" t="str">
        <v/>
      </c>
      <c r="Q6" t="str">
        <v>*</v>
      </c>
      <c r="R6" t="str">
        <v>Matthews</v>
      </c>
      <c r="S6" t="str">
        <v xml:space="preserve">Kalob </v>
      </c>
      <c r="T6" s="56">
        <v>46286</v>
      </c>
      <c r="U6" t="str">
        <v/>
      </c>
      <c r="V6" t="str">
        <v>*</v>
      </c>
      <c r="W6" t="str">
        <v xml:space="preserve">Lopez,Diego </v>
      </c>
      <c r="X6" t="str">
        <v/>
      </c>
      <c r="Y6" s="56">
        <v>46288</v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</row>
    <row r="7" spans="1:34" x14ac:dyDescent="0.25">
      <c r="A7" t="str">
        <v/>
      </c>
      <c r="B7" t="str">
        <v>*</v>
      </c>
      <c r="C7" t="str">
        <v>Perez</v>
      </c>
      <c r="D7" t="str">
        <v>Yesenia</v>
      </c>
      <c r="E7" s="56">
        <v>46140</v>
      </c>
      <c r="F7" t="str">
        <v/>
      </c>
      <c r="G7" t="str">
        <v>*</v>
      </c>
      <c r="H7" t="str">
        <v>Sakesenberg</v>
      </c>
      <c r="I7" t="str">
        <v>Blake</v>
      </c>
      <c r="J7" s="56">
        <v>46245</v>
      </c>
      <c r="K7" t="str">
        <v/>
      </c>
      <c r="L7" t="str">
        <v>*</v>
      </c>
      <c r="M7" t="str">
        <v>Bowman</v>
      </c>
      <c r="N7" t="str">
        <v>David</v>
      </c>
      <c r="O7" s="56">
        <v>46202</v>
      </c>
      <c r="P7" t="str">
        <v/>
      </c>
      <c r="Q7" t="str">
        <v>*</v>
      </c>
      <c r="R7" t="str">
        <v>Perez</v>
      </c>
      <c r="S7" t="str">
        <v xml:space="preserve">Carlos </v>
      </c>
      <c r="T7" s="56">
        <v>46288</v>
      </c>
      <c r="U7" t="str">
        <v/>
      </c>
      <c r="V7" t="str">
        <v/>
      </c>
      <c r="W7" t="str">
        <v>Munoz</v>
      </c>
      <c r="X7" t="str">
        <v>Vincent.pdf</v>
      </c>
      <c r="Y7" s="56">
        <v>46294</v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</row>
    <row r="8" spans="1:34" x14ac:dyDescent="0.25">
      <c r="A8" t="str">
        <v/>
      </c>
      <c r="B8" t="str">
        <v>*</v>
      </c>
      <c r="C8" t="str">
        <v>McDonald</v>
      </c>
      <c r="D8" t="str">
        <v>Tevin</v>
      </c>
      <c r="E8" s="56">
        <v>46149</v>
      </c>
      <c r="F8" t="str">
        <v/>
      </c>
      <c r="G8" t="str">
        <v>*</v>
      </c>
      <c r="H8" t="str">
        <v>Davalos</v>
      </c>
      <c r="I8" t="str">
        <v>Marier.pdf</v>
      </c>
      <c r="J8" s="56">
        <v>46251</v>
      </c>
      <c r="K8" t="str">
        <v/>
      </c>
      <c r="L8" t="str">
        <v>*</v>
      </c>
      <c r="M8" t="str">
        <v>Lucus</v>
      </c>
      <c r="N8" t="str">
        <v>Laurence</v>
      </c>
      <c r="O8" s="56">
        <v>46210</v>
      </c>
      <c r="P8" t="str">
        <v/>
      </c>
      <c r="Q8" t="str">
        <v>*</v>
      </c>
      <c r="R8" t="str">
        <v>Sampson</v>
      </c>
      <c r="S8" t="str">
        <v xml:space="preserve">Anthony </v>
      </c>
      <c r="T8" s="56">
        <v>46288</v>
      </c>
      <c r="U8" t="str">
        <v/>
      </c>
      <c r="V8" t="str">
        <v/>
      </c>
      <c r="W8" t="str">
        <v>Spencer</v>
      </c>
      <c r="X8" t="str">
        <v>Ashley.pdf</v>
      </c>
      <c r="Y8" s="56">
        <v>46295</v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</row>
    <row r="9" spans="1:34" x14ac:dyDescent="0.25">
      <c r="A9" t="str">
        <v/>
      </c>
      <c r="B9" t="str">
        <v>*</v>
      </c>
      <c r="C9" t="str">
        <v>Rugley</v>
      </c>
      <c r="D9" t="str">
        <v>Malik</v>
      </c>
      <c r="E9" s="56">
        <v>46153</v>
      </c>
      <c r="F9" t="str">
        <v/>
      </c>
      <c r="G9" t="str">
        <v>*</v>
      </c>
      <c r="H9" t="str">
        <v>Manson</v>
      </c>
      <c r="I9" t="str">
        <v>Azlynn</v>
      </c>
      <c r="J9" s="56">
        <v>46254</v>
      </c>
      <c r="K9" t="str">
        <v/>
      </c>
      <c r="L9" t="str">
        <v>*</v>
      </c>
      <c r="M9" t="str">
        <v>Sylvester</v>
      </c>
      <c r="N9" t="str">
        <v>Darius</v>
      </c>
      <c r="O9" s="56">
        <v>46224</v>
      </c>
      <c r="P9" t="str">
        <v/>
      </c>
      <c r="Q9" t="str">
        <v/>
      </c>
      <c r="R9" t="str">
        <v/>
      </c>
      <c r="S9" t="str">
        <v/>
      </c>
      <c r="T9" s="56" t="str">
        <v/>
      </c>
      <c r="U9" t="str">
        <v/>
      </c>
      <c r="V9" t="str">
        <v/>
      </c>
      <c r="W9" t="str">
        <v/>
      </c>
      <c r="X9" t="str">
        <v/>
      </c>
      <c r="Y9" s="56" t="str">
        <v/>
      </c>
      <c r="Z9" t="str">
        <v/>
      </c>
      <c r="AA9" t="str">
        <v/>
      </c>
      <c r="AB9" t="str">
        <v/>
      </c>
      <c r="AC9" t="str">
        <v/>
      </c>
      <c r="AD9" t="str">
        <v/>
      </c>
      <c r="AE9" t="str">
        <v/>
      </c>
      <c r="AF9" t="str">
        <v/>
      </c>
      <c r="AG9" t="str">
        <v/>
      </c>
      <c r="AH9" t="str">
        <v/>
      </c>
    </row>
    <row r="10" spans="1:34" x14ac:dyDescent="0.25">
      <c r="A10" t="str">
        <v/>
      </c>
      <c r="B10" t="str">
        <v>*</v>
      </c>
      <c r="C10" t="str">
        <v>Chavez</v>
      </c>
      <c r="D10" t="str">
        <v>Alexis</v>
      </c>
      <c r="E10" s="56">
        <v>46183</v>
      </c>
      <c r="F10" t="str">
        <v/>
      </c>
      <c r="G10" t="str">
        <v>*</v>
      </c>
      <c r="H10" t="str">
        <v>Carlos</v>
      </c>
      <c r="I10" t="str">
        <v>Resignation</v>
      </c>
      <c r="J10" s="56">
        <v>46254</v>
      </c>
      <c r="K10" t="str">
        <v/>
      </c>
      <c r="L10" t="str">
        <v>*</v>
      </c>
      <c r="M10" t="str">
        <v>Walker</v>
      </c>
      <c r="N10" t="str">
        <v>Jamichael</v>
      </c>
      <c r="O10" s="56">
        <v>46239</v>
      </c>
      <c r="P10" t="str">
        <v/>
      </c>
      <c r="Q10" t="str">
        <v/>
      </c>
      <c r="R10" t="str">
        <v/>
      </c>
      <c r="S10" t="str">
        <v/>
      </c>
      <c r="T10" s="56" t="str">
        <v/>
      </c>
      <c r="U10" t="str">
        <v/>
      </c>
      <c r="V10" t="str">
        <v/>
      </c>
      <c r="W10" t="str">
        <v/>
      </c>
      <c r="X10" t="str">
        <v/>
      </c>
      <c r="Y10" s="56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E10" t="str">
        <v/>
      </c>
      <c r="AF10" t="str">
        <v/>
      </c>
      <c r="AG10" t="str">
        <v/>
      </c>
      <c r="AH10" t="str">
        <v/>
      </c>
    </row>
    <row r="11" spans="1:34" x14ac:dyDescent="0.25">
      <c r="A11" t="str">
        <v/>
      </c>
      <c r="B11" t="str">
        <v>*</v>
      </c>
      <c r="C11" t="str">
        <v>Fabiyi</v>
      </c>
      <c r="D11" t="str">
        <v>Elijah</v>
      </c>
      <c r="E11" s="56">
        <v>46183</v>
      </c>
      <c r="F11" t="str">
        <v/>
      </c>
      <c r="G11" t="str">
        <v/>
      </c>
      <c r="H11" t="str">
        <v>Montalvo</v>
      </c>
      <c r="I11" t="str">
        <v>Michael</v>
      </c>
      <c r="J11" s="56">
        <v>46289</v>
      </c>
      <c r="K11" t="str">
        <v/>
      </c>
      <c r="L11" t="str">
        <v>*</v>
      </c>
      <c r="M11" t="str">
        <v>Autrey</v>
      </c>
      <c r="N11" t="str">
        <v>III,</v>
      </c>
      <c r="O11" s="56">
        <v>46244</v>
      </c>
      <c r="P11" t="str">
        <v/>
      </c>
      <c r="Q11" t="str">
        <v/>
      </c>
      <c r="R11" t="str">
        <v/>
      </c>
      <c r="S11" t="str">
        <v/>
      </c>
      <c r="T11" s="56" t="str">
        <v/>
      </c>
      <c r="U11" t="str">
        <v/>
      </c>
      <c r="V11" t="str">
        <v/>
      </c>
      <c r="W11" t="str">
        <v/>
      </c>
      <c r="X11" t="str">
        <v/>
      </c>
      <c r="Y11" s="56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</row>
    <row r="12" spans="1:34" x14ac:dyDescent="0.25">
      <c r="A12" t="str">
        <v/>
      </c>
      <c r="B12" t="str">
        <v>*</v>
      </c>
      <c r="C12" t="str">
        <v>Foreman</v>
      </c>
      <c r="D12" t="str">
        <v>Ethan</v>
      </c>
      <c r="E12" s="56">
        <v>46183</v>
      </c>
      <c r="F12" t="str">
        <v/>
      </c>
      <c r="G12" t="str">
        <v/>
      </c>
      <c r="H12" t="str">
        <v/>
      </c>
      <c r="I12" t="str">
        <v/>
      </c>
      <c r="J12" s="56" t="str">
        <v/>
      </c>
      <c r="K12" t="str">
        <v/>
      </c>
      <c r="L12" t="str">
        <v>*</v>
      </c>
      <c r="M12" t="str">
        <v>Fitzpatrick</v>
      </c>
      <c r="N12" t="str">
        <v>Khyon</v>
      </c>
      <c r="O12" s="56">
        <v>46254</v>
      </c>
      <c r="P12" t="str">
        <v/>
      </c>
      <c r="Q12" t="str">
        <v/>
      </c>
      <c r="R12" t="str">
        <v/>
      </c>
      <c r="S12" t="str">
        <v/>
      </c>
      <c r="T12" s="56" t="str">
        <v/>
      </c>
      <c r="U12" t="str">
        <v/>
      </c>
      <c r="V12" t="str">
        <v/>
      </c>
      <c r="W12" t="str">
        <v/>
      </c>
      <c r="X12" t="str">
        <v/>
      </c>
      <c r="Y12" s="56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  <c r="AE12" t="str">
        <v/>
      </c>
      <c r="AF12" t="str">
        <v/>
      </c>
      <c r="AG12" t="str">
        <v/>
      </c>
      <c r="AH12" t="str">
        <v/>
      </c>
    </row>
    <row r="13" spans="1:34" x14ac:dyDescent="0.25">
      <c r="A13" t="str">
        <v/>
      </c>
      <c r="B13" t="str">
        <v>*</v>
      </c>
      <c r="C13" t="str">
        <v>Gibbs</v>
      </c>
      <c r="D13" t="str">
        <v>Rochuad</v>
      </c>
      <c r="E13" s="56">
        <v>46183</v>
      </c>
      <c r="F13" t="str">
        <v/>
      </c>
      <c r="G13" t="str">
        <v/>
      </c>
      <c r="H13" t="str">
        <v/>
      </c>
      <c r="I13" t="str">
        <v/>
      </c>
      <c r="J13" s="56" t="str">
        <v/>
      </c>
      <c r="K13" t="str">
        <v/>
      </c>
      <c r="L13" t="str">
        <v>*</v>
      </c>
      <c r="M13" t="str">
        <v>Gee.</v>
      </c>
      <c r="N13" t="str">
        <v>Jecal</v>
      </c>
      <c r="O13" s="56">
        <v>46254</v>
      </c>
      <c r="P13" t="str">
        <v/>
      </c>
      <c r="Q13" t="str">
        <v/>
      </c>
      <c r="R13" t="str">
        <v/>
      </c>
      <c r="S13" t="str">
        <v/>
      </c>
      <c r="T13" s="56" t="str">
        <v/>
      </c>
      <c r="U13" t="str">
        <v/>
      </c>
      <c r="V13" t="str">
        <v/>
      </c>
      <c r="W13" t="str">
        <v/>
      </c>
      <c r="X13" t="str">
        <v/>
      </c>
      <c r="Y13" s="56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E13" t="str">
        <v/>
      </c>
      <c r="AF13" t="str">
        <v/>
      </c>
      <c r="AG13" t="str">
        <v/>
      </c>
      <c r="AH13" t="str">
        <v/>
      </c>
    </row>
    <row r="14" spans="1:34" x14ac:dyDescent="0.25">
      <c r="A14" t="str">
        <v/>
      </c>
      <c r="B14" t="str">
        <v>*</v>
      </c>
      <c r="C14" t="str">
        <v>Thomas</v>
      </c>
      <c r="D14" t="str">
        <v>Jacorey</v>
      </c>
      <c r="E14" s="56">
        <v>46183</v>
      </c>
      <c r="F14" t="str">
        <v/>
      </c>
      <c r="G14" t="str">
        <v/>
      </c>
      <c r="H14" t="str">
        <v/>
      </c>
      <c r="I14" t="str">
        <v/>
      </c>
      <c r="J14" s="56" t="str">
        <v/>
      </c>
      <c r="K14" t="str">
        <v/>
      </c>
      <c r="L14" t="str">
        <v/>
      </c>
      <c r="M14" t="str">
        <v>Moore</v>
      </c>
      <c r="N14" t="str">
        <v>Kendrick</v>
      </c>
      <c r="O14" s="56">
        <v>46254</v>
      </c>
      <c r="P14" t="str">
        <v/>
      </c>
      <c r="Q14" t="str">
        <v/>
      </c>
      <c r="R14" t="str">
        <v/>
      </c>
      <c r="S14" t="str">
        <v/>
      </c>
      <c r="T14" s="56" t="str">
        <v/>
      </c>
      <c r="U14" t="str">
        <v/>
      </c>
      <c r="V14" t="str">
        <v/>
      </c>
      <c r="W14" t="str">
        <v/>
      </c>
      <c r="X14" t="str">
        <v/>
      </c>
      <c r="Y14" s="56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  <c r="AE14" t="str">
        <v/>
      </c>
      <c r="AF14" t="str">
        <v/>
      </c>
      <c r="AG14" t="str">
        <v/>
      </c>
      <c r="AH14" t="str">
        <v/>
      </c>
    </row>
    <row r="15" spans="1:34" x14ac:dyDescent="0.25">
      <c r="A15" t="str">
        <v/>
      </c>
      <c r="B15" t="str">
        <v>*</v>
      </c>
      <c r="C15" t="str">
        <v>Allen</v>
      </c>
      <c r="D15" t="str">
        <v>Isaac</v>
      </c>
      <c r="E15" s="56">
        <v>46183</v>
      </c>
      <c r="F15" t="str">
        <v/>
      </c>
      <c r="G15" t="str">
        <v/>
      </c>
      <c r="H15" t="str">
        <v/>
      </c>
      <c r="I15" t="str">
        <v/>
      </c>
      <c r="J15" s="56" t="str">
        <v/>
      </c>
      <c r="K15" t="str">
        <v/>
      </c>
      <c r="L15" t="str">
        <v>*</v>
      </c>
      <c r="M15" t="str">
        <v>SejourNiaave</v>
      </c>
      <c r="N15" t="str">
        <v>Resignation</v>
      </c>
      <c r="O15" s="56">
        <v>46254</v>
      </c>
      <c r="P15" t="str">
        <v/>
      </c>
      <c r="Q15" t="str">
        <v/>
      </c>
      <c r="R15" t="str">
        <v/>
      </c>
      <c r="S15" t="str">
        <v/>
      </c>
      <c r="T15" s="56" t="str">
        <v/>
      </c>
      <c r="U15" t="str">
        <v/>
      </c>
      <c r="V15" t="str">
        <v/>
      </c>
      <c r="W15" t="str">
        <v/>
      </c>
      <c r="X15" t="str">
        <v/>
      </c>
      <c r="Y15" s="56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</row>
    <row r="16" spans="1:34" x14ac:dyDescent="0.25">
      <c r="A16" t="str">
        <v/>
      </c>
      <c r="B16" t="str">
        <v>*</v>
      </c>
      <c r="C16" t="str">
        <v>Patino</v>
      </c>
      <c r="D16" t="str">
        <v>Rafael</v>
      </c>
      <c r="E16" s="56">
        <v>46184</v>
      </c>
      <c r="F16" t="str">
        <v/>
      </c>
      <c r="G16" t="str">
        <v/>
      </c>
      <c r="H16" t="str">
        <v/>
      </c>
      <c r="I16" t="str">
        <v/>
      </c>
      <c r="J16" s="56" t="str">
        <v/>
      </c>
      <c r="K16" t="str">
        <v/>
      </c>
      <c r="L16" t="str">
        <v>*</v>
      </c>
      <c r="M16" t="str">
        <v>Spencer</v>
      </c>
      <c r="N16" t="str">
        <v>Tacory</v>
      </c>
      <c r="O16" s="56">
        <v>46254</v>
      </c>
      <c r="P16" t="str">
        <v/>
      </c>
      <c r="Q16" t="str">
        <v/>
      </c>
      <c r="R16" t="str">
        <v/>
      </c>
      <c r="S16" t="str">
        <v/>
      </c>
      <c r="T16" s="56" t="str">
        <v/>
      </c>
      <c r="U16" t="str">
        <v/>
      </c>
      <c r="V16" t="str">
        <v/>
      </c>
      <c r="W16" t="str">
        <v/>
      </c>
      <c r="X16" t="str">
        <v/>
      </c>
      <c r="Y16" s="5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  <c r="AE16" t="str">
        <v/>
      </c>
      <c r="AF16" t="str">
        <v/>
      </c>
      <c r="AG16" t="str">
        <v/>
      </c>
      <c r="AH16" t="str">
        <v/>
      </c>
    </row>
    <row r="17" spans="1:34" x14ac:dyDescent="0.25">
      <c r="A17" t="str">
        <v/>
      </c>
      <c r="B17" t="str">
        <v>*</v>
      </c>
      <c r="C17" t="str">
        <v>Arceneaux</v>
      </c>
      <c r="D17" t="str">
        <v>Devin</v>
      </c>
      <c r="E17" s="56">
        <v>46191</v>
      </c>
      <c r="F17" t="str">
        <v/>
      </c>
      <c r="G17" t="str">
        <v/>
      </c>
      <c r="H17" t="str">
        <v/>
      </c>
      <c r="I17" t="str">
        <v/>
      </c>
      <c r="J17" s="56" t="str">
        <v/>
      </c>
      <c r="K17" t="str">
        <v/>
      </c>
      <c r="L17" t="str">
        <v>*</v>
      </c>
      <c r="M17" t="str">
        <v>Hernandez</v>
      </c>
      <c r="N17" t="str">
        <v>Edwin</v>
      </c>
      <c r="O17" s="56">
        <v>46280</v>
      </c>
      <c r="P17" t="str">
        <v/>
      </c>
      <c r="Q17" t="str">
        <v/>
      </c>
      <c r="R17" t="str">
        <v/>
      </c>
      <c r="S17" t="str">
        <v/>
      </c>
      <c r="T17" s="56" t="str">
        <v/>
      </c>
      <c r="U17" t="str">
        <v/>
      </c>
      <c r="V17" t="str">
        <v/>
      </c>
      <c r="W17" t="str">
        <v/>
      </c>
      <c r="X17" t="str">
        <v/>
      </c>
      <c r="Y17" s="56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  <c r="AE17" t="str">
        <v/>
      </c>
      <c r="AF17" t="str">
        <v/>
      </c>
      <c r="AG17" t="str">
        <v/>
      </c>
      <c r="AH17" t="str">
        <v/>
      </c>
    </row>
    <row r="18" spans="1:34" x14ac:dyDescent="0.25">
      <c r="A18" t="str">
        <v/>
      </c>
      <c r="B18" t="str">
        <v>*</v>
      </c>
      <c r="C18" t="str">
        <v>Jordan</v>
      </c>
      <c r="D18" t="str">
        <v>Jahreese</v>
      </c>
      <c r="E18" s="56">
        <v>46218</v>
      </c>
      <c r="F18" t="str">
        <v/>
      </c>
      <c r="G18" t="str">
        <v/>
      </c>
      <c r="H18" t="str">
        <v/>
      </c>
      <c r="I18" t="str">
        <v/>
      </c>
      <c r="J18" s="56" t="str">
        <v/>
      </c>
      <c r="K18" t="str">
        <v/>
      </c>
      <c r="L18" t="str">
        <v>*</v>
      </c>
      <c r="M18" t="str">
        <v>Palla</v>
      </c>
      <c r="N18" t="str">
        <v>Jaxson</v>
      </c>
      <c r="O18" s="56">
        <v>46280</v>
      </c>
      <c r="P18" t="str">
        <v/>
      </c>
      <c r="Q18" t="str">
        <v/>
      </c>
      <c r="R18" t="str">
        <v/>
      </c>
      <c r="S18" t="str">
        <v/>
      </c>
      <c r="T18" s="56" t="str">
        <v/>
      </c>
      <c r="U18" t="str">
        <v/>
      </c>
      <c r="V18" t="str">
        <v/>
      </c>
      <c r="W18" t="str">
        <v/>
      </c>
      <c r="X18" t="str">
        <v/>
      </c>
      <c r="Y18" s="56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  <c r="AE18" t="str">
        <v/>
      </c>
      <c r="AF18" t="str">
        <v/>
      </c>
      <c r="AG18" t="str">
        <v/>
      </c>
      <c r="AH18" t="str">
        <v/>
      </c>
    </row>
    <row r="19" spans="1:34" x14ac:dyDescent="0.25">
      <c r="A19" t="str">
        <v/>
      </c>
      <c r="B19" t="str">
        <v>*</v>
      </c>
      <c r="C19" t="str">
        <v>Spears</v>
      </c>
      <c r="D19" t="str">
        <v>Axel</v>
      </c>
      <c r="E19" s="56">
        <v>46223</v>
      </c>
      <c r="F19" t="str">
        <v/>
      </c>
      <c r="G19" t="str">
        <v/>
      </c>
      <c r="H19" t="str">
        <v/>
      </c>
      <c r="I19" t="str">
        <v/>
      </c>
      <c r="J19" s="56" t="str">
        <v/>
      </c>
      <c r="K19" t="str">
        <v/>
      </c>
      <c r="L19" t="str">
        <v/>
      </c>
      <c r="M19" t="str">
        <v>Garcia</v>
      </c>
      <c r="N19" t="str">
        <v>Yair</v>
      </c>
      <c r="O19" s="56">
        <v>46289</v>
      </c>
      <c r="P19" t="str">
        <v/>
      </c>
      <c r="Q19" t="str">
        <v/>
      </c>
      <c r="R19" t="str">
        <v/>
      </c>
      <c r="S19" t="str">
        <v/>
      </c>
      <c r="T19" s="56" t="str">
        <v/>
      </c>
      <c r="U19" t="str">
        <v/>
      </c>
      <c r="V19" t="str">
        <v/>
      </c>
      <c r="W19" t="str">
        <v/>
      </c>
      <c r="X19" t="str">
        <v/>
      </c>
      <c r="Y19" s="56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  <c r="AE19" t="str">
        <v/>
      </c>
      <c r="AF19" t="str">
        <v/>
      </c>
      <c r="AG19" t="str">
        <v/>
      </c>
      <c r="AH19" t="str">
        <v/>
      </c>
    </row>
    <row r="20" spans="1:34" x14ac:dyDescent="0.25">
      <c r="A20" t="str">
        <v/>
      </c>
      <c r="B20" t="str">
        <v>*</v>
      </c>
      <c r="C20" t="str">
        <v>Curtis</v>
      </c>
      <c r="D20" t="str">
        <v>Tyler</v>
      </c>
      <c r="E20" s="56">
        <v>46224</v>
      </c>
      <c r="F20" t="str">
        <v/>
      </c>
      <c r="G20" t="str">
        <v/>
      </c>
      <c r="H20" t="str">
        <v/>
      </c>
      <c r="I20" t="str">
        <v/>
      </c>
      <c r="J20" s="56" t="str">
        <v/>
      </c>
      <c r="K20" t="str">
        <v/>
      </c>
      <c r="L20" t="str">
        <v/>
      </c>
      <c r="M20" t="str">
        <v>Shalilian</v>
      </c>
      <c r="N20" t="str">
        <v>Ida.pdf</v>
      </c>
      <c r="O20" s="56">
        <v>46293</v>
      </c>
      <c r="P20" t="str">
        <v/>
      </c>
      <c r="Q20" t="str">
        <v/>
      </c>
      <c r="R20" t="str">
        <v/>
      </c>
      <c r="S20" t="str">
        <v/>
      </c>
      <c r="T20" s="56" t="str">
        <v/>
      </c>
      <c r="U20" t="str">
        <v/>
      </c>
      <c r="V20" t="str">
        <v/>
      </c>
      <c r="W20" t="str">
        <v/>
      </c>
      <c r="X20" t="str">
        <v/>
      </c>
      <c r="Y20" s="56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  <c r="AE20" t="str">
        <v/>
      </c>
      <c r="AF20" t="str">
        <v/>
      </c>
      <c r="AG20" t="str">
        <v/>
      </c>
      <c r="AH20" t="str">
        <v/>
      </c>
    </row>
    <row r="21" spans="1:34" x14ac:dyDescent="0.25">
      <c r="A21" t="str">
        <v/>
      </c>
      <c r="B21" t="str">
        <v>*</v>
      </c>
      <c r="C21" t="str">
        <v>Peters</v>
      </c>
      <c r="D21" t="str">
        <v>Julian</v>
      </c>
      <c r="E21" s="56">
        <v>46224</v>
      </c>
      <c r="F21" t="str">
        <v/>
      </c>
      <c r="G21" t="str">
        <v/>
      </c>
      <c r="H21" t="str">
        <v/>
      </c>
      <c r="I21" t="str">
        <v/>
      </c>
      <c r="J21" s="56" t="str">
        <v/>
      </c>
      <c r="K21" t="str">
        <v/>
      </c>
      <c r="L21" t="str">
        <v/>
      </c>
      <c r="M21" t="str">
        <v>Johnson</v>
      </c>
      <c r="N21" t="str">
        <v>Julian.pdf</v>
      </c>
      <c r="O21" s="56">
        <v>46295</v>
      </c>
      <c r="P21" t="str">
        <v/>
      </c>
      <c r="Q21" t="str">
        <v/>
      </c>
      <c r="R21" t="str">
        <v/>
      </c>
      <c r="S21" t="str">
        <v/>
      </c>
      <c r="T21" s="56" t="str">
        <v/>
      </c>
      <c r="U21" t="str">
        <v/>
      </c>
      <c r="V21" t="str">
        <v/>
      </c>
      <c r="W21" t="str">
        <v/>
      </c>
      <c r="X21" t="str">
        <v/>
      </c>
      <c r="Y21" s="56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  <c r="AE21" t="str">
        <v/>
      </c>
      <c r="AF21" t="str">
        <v/>
      </c>
      <c r="AG21" t="str">
        <v/>
      </c>
      <c r="AH21" t="str">
        <v/>
      </c>
    </row>
    <row r="22" spans="1:34" x14ac:dyDescent="0.25">
      <c r="A22" t="str">
        <v/>
      </c>
      <c r="B22" t="str">
        <v>*</v>
      </c>
      <c r="C22" t="str">
        <v>Rorie</v>
      </c>
      <c r="D22" t="str">
        <v>Evan</v>
      </c>
      <c r="E22" s="56">
        <v>46224</v>
      </c>
      <c r="F22" t="str">
        <v/>
      </c>
      <c r="G22" t="str">
        <v/>
      </c>
      <c r="H22" t="str">
        <v/>
      </c>
      <c r="I22" t="str">
        <v/>
      </c>
      <c r="J22" s="56" t="str">
        <v/>
      </c>
      <c r="K22" t="str">
        <v/>
      </c>
      <c r="L22" t="str">
        <v/>
      </c>
      <c r="M22" t="str">
        <v/>
      </c>
      <c r="N22" t="str">
        <v/>
      </c>
      <c r="O22" s="56" t="str">
        <v/>
      </c>
      <c r="P22" t="str">
        <v/>
      </c>
      <c r="Q22" t="str">
        <v/>
      </c>
      <c r="R22" t="str">
        <v/>
      </c>
      <c r="S22" t="str">
        <v/>
      </c>
      <c r="T22" s="56" t="str">
        <v/>
      </c>
      <c r="U22" t="str">
        <v/>
      </c>
      <c r="V22" t="str">
        <v/>
      </c>
      <c r="W22" t="str">
        <v/>
      </c>
      <c r="X22" t="str">
        <v/>
      </c>
      <c r="Y22" s="56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  <c r="AE22" t="str">
        <v/>
      </c>
      <c r="AF22" t="str">
        <v/>
      </c>
      <c r="AG22" t="str">
        <v/>
      </c>
      <c r="AH22" t="str">
        <v/>
      </c>
    </row>
    <row r="23" spans="1:34" x14ac:dyDescent="0.25">
      <c r="A23" t="str">
        <v/>
      </c>
      <c r="B23" t="str">
        <v>*</v>
      </c>
      <c r="C23" t="str">
        <v>Jean-Bart</v>
      </c>
      <c r="D23" t="str">
        <v>Caiel</v>
      </c>
      <c r="E23" s="56">
        <v>46238</v>
      </c>
      <c r="F23" t="str">
        <v/>
      </c>
      <c r="G23" t="str">
        <v/>
      </c>
      <c r="H23" t="str">
        <v/>
      </c>
      <c r="I23" t="str">
        <v/>
      </c>
      <c r="J23" s="56" t="str">
        <v/>
      </c>
      <c r="K23" t="str">
        <v/>
      </c>
      <c r="L23" t="str">
        <v/>
      </c>
      <c r="M23" t="str">
        <v/>
      </c>
      <c r="N23" t="str">
        <v/>
      </c>
      <c r="O23" s="56" t="str">
        <v/>
      </c>
      <c r="P23" t="str">
        <v/>
      </c>
      <c r="Q23" t="str">
        <v/>
      </c>
      <c r="R23" t="str">
        <v/>
      </c>
      <c r="S23" t="str">
        <v/>
      </c>
      <c r="T23" s="56" t="str">
        <v/>
      </c>
      <c r="U23" t="str">
        <v/>
      </c>
      <c r="V23" t="str">
        <v/>
      </c>
      <c r="W23" t="str">
        <v/>
      </c>
      <c r="X23" t="str">
        <v/>
      </c>
      <c r="Y23" s="56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  <c r="AE23" t="str">
        <v/>
      </c>
      <c r="AF23" t="str">
        <v/>
      </c>
      <c r="AG23" t="str">
        <v/>
      </c>
      <c r="AH23" t="str">
        <v/>
      </c>
    </row>
    <row r="24" spans="1:34" x14ac:dyDescent="0.25">
      <c r="A24" t="str">
        <v/>
      </c>
      <c r="B24" t="str">
        <v>*</v>
      </c>
      <c r="C24" t="str">
        <v>Hubbard</v>
      </c>
      <c r="D24" t="str">
        <v>Nevaeh</v>
      </c>
      <c r="E24" s="56">
        <v>46245</v>
      </c>
      <c r="F24" t="str">
        <v/>
      </c>
      <c r="G24" t="str">
        <v/>
      </c>
      <c r="H24" t="str">
        <v/>
      </c>
      <c r="I24" t="str">
        <v/>
      </c>
      <c r="J24" s="56" t="str">
        <v/>
      </c>
      <c r="K24" t="str">
        <v/>
      </c>
      <c r="L24" t="str">
        <v/>
      </c>
      <c r="M24" t="str">
        <v/>
      </c>
      <c r="N24" t="str">
        <v/>
      </c>
      <c r="O24" s="56" t="str">
        <v/>
      </c>
      <c r="P24" t="str">
        <v/>
      </c>
      <c r="Q24" t="str">
        <v/>
      </c>
      <c r="R24" t="str">
        <v/>
      </c>
      <c r="S24" t="str">
        <v/>
      </c>
      <c r="T24" s="56" t="str">
        <v/>
      </c>
      <c r="U24" t="str">
        <v/>
      </c>
      <c r="V24" t="str">
        <v/>
      </c>
      <c r="W24" t="str">
        <v/>
      </c>
      <c r="X24" t="str">
        <v/>
      </c>
      <c r="Y24" s="56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  <c r="AE24" t="str">
        <v/>
      </c>
      <c r="AF24" t="str">
        <v/>
      </c>
      <c r="AG24" t="str">
        <v/>
      </c>
      <c r="AH24" t="str">
        <v/>
      </c>
    </row>
    <row r="25" spans="1:34" x14ac:dyDescent="0.25">
      <c r="A25" t="str">
        <v/>
      </c>
      <c r="B25" t="str">
        <v>*</v>
      </c>
      <c r="C25" t="str">
        <v>Evans</v>
      </c>
      <c r="D25" t="str">
        <v>William</v>
      </c>
      <c r="E25" s="56">
        <v>46260</v>
      </c>
      <c r="F25" t="str">
        <v/>
      </c>
      <c r="G25" t="str">
        <v/>
      </c>
      <c r="H25" t="str">
        <v/>
      </c>
      <c r="I25" t="str">
        <v/>
      </c>
      <c r="J25" s="56" t="str">
        <v/>
      </c>
      <c r="K25" t="str">
        <v/>
      </c>
      <c r="L25" t="str">
        <v/>
      </c>
      <c r="M25" t="str">
        <v/>
      </c>
      <c r="N25" t="str">
        <v/>
      </c>
      <c r="O25" s="56" t="str">
        <v/>
      </c>
      <c r="P25" t="str">
        <v/>
      </c>
      <c r="Q25" t="str">
        <v/>
      </c>
      <c r="R25" t="str">
        <v/>
      </c>
      <c r="S25" t="str">
        <v/>
      </c>
      <c r="T25" s="56" t="str">
        <v/>
      </c>
      <c r="U25" t="str">
        <v/>
      </c>
      <c r="V25" t="str">
        <v/>
      </c>
      <c r="W25" t="str">
        <v/>
      </c>
      <c r="X25" t="str">
        <v/>
      </c>
      <c r="Y25" s="56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  <c r="AE25" t="str">
        <v/>
      </c>
      <c r="AF25" t="str">
        <v/>
      </c>
      <c r="AG25" t="str">
        <v/>
      </c>
      <c r="AH25" t="str">
        <v/>
      </c>
    </row>
    <row r="26" spans="1:34" x14ac:dyDescent="0.25">
      <c r="A26" t="str">
        <v/>
      </c>
      <c r="B26" t="str">
        <v>*</v>
      </c>
      <c r="C26" t="str">
        <v>Adams</v>
      </c>
      <c r="D26" t="str">
        <v>Alexis</v>
      </c>
      <c r="E26" s="56">
        <v>46261</v>
      </c>
      <c r="F26" t="str">
        <v/>
      </c>
      <c r="G26" t="str">
        <v/>
      </c>
      <c r="H26" t="str">
        <v/>
      </c>
      <c r="I26" t="str">
        <v/>
      </c>
      <c r="J26" s="56" t="str">
        <v/>
      </c>
      <c r="K26" t="str">
        <v/>
      </c>
      <c r="L26" t="str">
        <v/>
      </c>
      <c r="M26" t="str">
        <v/>
      </c>
      <c r="N26" t="str">
        <v/>
      </c>
      <c r="O26" s="56" t="str">
        <v/>
      </c>
      <c r="P26" t="str">
        <v/>
      </c>
      <c r="Q26" t="str">
        <v/>
      </c>
      <c r="R26" t="str">
        <v/>
      </c>
      <c r="S26" t="str">
        <v/>
      </c>
      <c r="T26" s="56" t="str">
        <v/>
      </c>
      <c r="U26" t="str">
        <v/>
      </c>
      <c r="V26" t="str">
        <v/>
      </c>
      <c r="W26" t="str">
        <v/>
      </c>
      <c r="X26" t="str">
        <v/>
      </c>
      <c r="Y26" s="5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  <c r="AE26" t="str">
        <v/>
      </c>
      <c r="AF26" t="str">
        <v/>
      </c>
      <c r="AG26" t="str">
        <v/>
      </c>
      <c r="AH26" t="str">
        <v/>
      </c>
    </row>
    <row r="27" spans="1:34" x14ac:dyDescent="0.25">
      <c r="A27" t="str">
        <v/>
      </c>
      <c r="B27" t="str">
        <v>*</v>
      </c>
      <c r="C27" t="str">
        <v>Jordan</v>
      </c>
      <c r="D27" t="str">
        <v>Dorian</v>
      </c>
      <c r="E27" s="56">
        <v>46268</v>
      </c>
      <c r="F27" t="str">
        <v/>
      </c>
      <c r="G27" t="str">
        <v/>
      </c>
      <c r="H27" t="str">
        <v/>
      </c>
      <c r="I27" t="str">
        <v/>
      </c>
      <c r="J27" s="56" t="str">
        <v/>
      </c>
      <c r="K27" t="str">
        <v/>
      </c>
      <c r="L27" t="str">
        <v/>
      </c>
      <c r="M27" t="str">
        <v/>
      </c>
      <c r="N27" t="str">
        <v/>
      </c>
      <c r="O27" s="56" t="str">
        <v/>
      </c>
      <c r="P27" t="str">
        <v/>
      </c>
      <c r="Q27" t="str">
        <v/>
      </c>
      <c r="R27" t="str">
        <v/>
      </c>
      <c r="S27" t="str">
        <v/>
      </c>
      <c r="T27" s="56" t="str">
        <v/>
      </c>
      <c r="U27" t="str">
        <v/>
      </c>
      <c r="V27" t="str">
        <v/>
      </c>
      <c r="W27" t="str">
        <v/>
      </c>
      <c r="X27" t="str">
        <v/>
      </c>
      <c r="Y27" s="56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  <c r="AE27" t="str">
        <v/>
      </c>
      <c r="AF27" t="str">
        <v/>
      </c>
      <c r="AG27" t="str">
        <v/>
      </c>
      <c r="AH27" t="str">
        <v/>
      </c>
    </row>
    <row r="28" spans="1:34" x14ac:dyDescent="0.25">
      <c r="A28" t="str">
        <v/>
      </c>
      <c r="B28" t="str">
        <v>*</v>
      </c>
      <c r="C28" t="str">
        <v>Wallace</v>
      </c>
      <c r="D28" t="str">
        <v>Jahiem</v>
      </c>
      <c r="E28" s="56">
        <v>46268</v>
      </c>
      <c r="F28" t="str">
        <v/>
      </c>
      <c r="G28" t="str">
        <v/>
      </c>
      <c r="H28" t="str">
        <v/>
      </c>
      <c r="I28" t="str">
        <v/>
      </c>
      <c r="J28" s="56" t="str">
        <v/>
      </c>
      <c r="K28" t="str">
        <v/>
      </c>
      <c r="L28" t="str">
        <v/>
      </c>
      <c r="M28" t="str">
        <v/>
      </c>
      <c r="N28" t="str">
        <v/>
      </c>
      <c r="O28" s="56" t="str">
        <v/>
      </c>
      <c r="P28" t="str">
        <v/>
      </c>
      <c r="Q28" t="str">
        <v/>
      </c>
      <c r="R28" t="str">
        <v/>
      </c>
      <c r="S28" t="str">
        <v/>
      </c>
      <c r="T28" s="56" t="str">
        <v/>
      </c>
      <c r="U28" t="str">
        <v/>
      </c>
      <c r="V28" t="str">
        <v/>
      </c>
      <c r="W28" t="str">
        <v/>
      </c>
      <c r="X28" t="str">
        <v/>
      </c>
      <c r="Y28" s="56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  <c r="AE28" t="str">
        <v/>
      </c>
      <c r="AF28" t="str">
        <v/>
      </c>
      <c r="AG28" t="str">
        <v/>
      </c>
      <c r="AH28" t="str">
        <v/>
      </c>
    </row>
    <row r="29" spans="1:34" x14ac:dyDescent="0.25">
      <c r="A29" t="str">
        <v/>
      </c>
      <c r="B29" t="str">
        <v/>
      </c>
      <c r="C29" t="str">
        <v/>
      </c>
      <c r="D29" t="str">
        <v/>
      </c>
      <c r="E29" s="56" t="str">
        <v/>
      </c>
      <c r="F29" t="str">
        <v/>
      </c>
      <c r="G29" t="str">
        <v/>
      </c>
      <c r="H29" t="str">
        <v/>
      </c>
      <c r="I29" t="str">
        <v/>
      </c>
      <c r="J29" s="56" t="str">
        <v/>
      </c>
      <c r="K29" t="str">
        <v/>
      </c>
      <c r="L29" t="str">
        <v/>
      </c>
      <c r="M29" t="str">
        <v/>
      </c>
      <c r="N29" t="str">
        <v/>
      </c>
      <c r="O29" s="56" t="str">
        <v/>
      </c>
      <c r="P29" t="str">
        <v/>
      </c>
      <c r="Q29" t="str">
        <v/>
      </c>
      <c r="R29" t="str">
        <v/>
      </c>
      <c r="S29" t="str">
        <v/>
      </c>
      <c r="T29" s="56" t="str">
        <v/>
      </c>
      <c r="U29" t="str">
        <v/>
      </c>
      <c r="V29" t="str">
        <v/>
      </c>
      <c r="W29" t="str">
        <v/>
      </c>
      <c r="X29" t="str">
        <v/>
      </c>
      <c r="Y29" s="56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  <c r="AE29" t="str">
        <v/>
      </c>
      <c r="AF29" t="str">
        <v/>
      </c>
      <c r="AG29" t="str">
        <v/>
      </c>
      <c r="AH29" t="str">
        <v/>
      </c>
    </row>
    <row r="30" spans="1:34" x14ac:dyDescent="0.25">
      <c r="A30" t="str">
        <v/>
      </c>
      <c r="B30" t="str">
        <v/>
      </c>
      <c r="C30" t="str">
        <v/>
      </c>
      <c r="D30" t="str">
        <v/>
      </c>
      <c r="E30" s="56" t="str">
        <v/>
      </c>
      <c r="F30" t="str">
        <v/>
      </c>
      <c r="G30" t="str">
        <v/>
      </c>
      <c r="H30" t="str">
        <v/>
      </c>
      <c r="I30" t="str">
        <v/>
      </c>
      <c r="J30" s="56" t="str">
        <v/>
      </c>
      <c r="K30" t="str">
        <v/>
      </c>
      <c r="L30" t="str">
        <v/>
      </c>
      <c r="M30" t="str">
        <v/>
      </c>
      <c r="N30" t="str">
        <v/>
      </c>
      <c r="O30" s="56" t="str">
        <v/>
      </c>
      <c r="P30" t="str">
        <v/>
      </c>
      <c r="Q30" t="str">
        <v/>
      </c>
      <c r="R30" t="str">
        <v/>
      </c>
      <c r="S30" t="str">
        <v/>
      </c>
      <c r="T30" s="56" t="str">
        <v/>
      </c>
      <c r="U30" t="str">
        <v/>
      </c>
      <c r="V30" t="str">
        <v/>
      </c>
      <c r="W30" t="str">
        <v/>
      </c>
      <c r="X30" t="str">
        <v/>
      </c>
      <c r="Y30" s="56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  <c r="AE30" t="str">
        <v/>
      </c>
      <c r="AF30" t="str">
        <v/>
      </c>
      <c r="AG30" t="str">
        <v/>
      </c>
      <c r="AH30" t="str">
        <v/>
      </c>
    </row>
    <row r="31" spans="1:34" x14ac:dyDescent="0.25">
      <c r="A31" t="str">
        <v/>
      </c>
      <c r="B31" t="str">
        <v/>
      </c>
      <c r="C31" t="str">
        <v/>
      </c>
      <c r="D31" t="str">
        <v/>
      </c>
      <c r="E31" s="56" t="str">
        <v/>
      </c>
      <c r="F31" t="str">
        <v/>
      </c>
      <c r="G31" t="str">
        <v/>
      </c>
      <c r="H31" t="str">
        <v/>
      </c>
      <c r="I31" t="str">
        <v/>
      </c>
      <c r="J31" s="56" t="str">
        <v/>
      </c>
      <c r="K31" t="str">
        <v/>
      </c>
      <c r="L31" t="str">
        <v/>
      </c>
      <c r="M31" t="str">
        <v/>
      </c>
      <c r="N31" t="str">
        <v/>
      </c>
      <c r="O31" s="56" t="str">
        <v/>
      </c>
      <c r="P31" t="str">
        <v/>
      </c>
      <c r="Q31" t="str">
        <v/>
      </c>
      <c r="R31" t="str">
        <v/>
      </c>
      <c r="S31" t="str">
        <v/>
      </c>
      <c r="T31" s="56" t="str">
        <v/>
      </c>
      <c r="U31" t="str">
        <v/>
      </c>
      <c r="V31" t="str">
        <v/>
      </c>
      <c r="W31" t="str">
        <v/>
      </c>
      <c r="X31" t="str">
        <v/>
      </c>
      <c r="Y31" s="56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  <c r="AE31" t="str">
        <v/>
      </c>
      <c r="AF31" t="str">
        <v/>
      </c>
      <c r="AG31" t="str">
        <v/>
      </c>
      <c r="AH31" t="str">
        <v/>
      </c>
    </row>
    <row r="32" spans="1:34" x14ac:dyDescent="0.25">
      <c r="A32" t="str">
        <v/>
      </c>
      <c r="B32" t="str">
        <v/>
      </c>
      <c r="C32" t="str">
        <v/>
      </c>
      <c r="D32" t="str">
        <v/>
      </c>
      <c r="E32" s="56" t="str">
        <v/>
      </c>
      <c r="F32" t="str">
        <v/>
      </c>
      <c r="G32" t="str">
        <v/>
      </c>
      <c r="H32" t="str">
        <v/>
      </c>
      <c r="I32" t="str">
        <v/>
      </c>
      <c r="J32" s="56" t="str">
        <v/>
      </c>
      <c r="K32" t="str">
        <v/>
      </c>
      <c r="L32" t="str">
        <v/>
      </c>
      <c r="M32" t="str">
        <v/>
      </c>
      <c r="N32" t="str">
        <v/>
      </c>
      <c r="O32" s="56" t="str">
        <v/>
      </c>
      <c r="P32" t="str">
        <v/>
      </c>
      <c r="Q32" t="str">
        <v/>
      </c>
      <c r="R32" t="str">
        <v/>
      </c>
      <c r="S32" t="str">
        <v/>
      </c>
      <c r="T32" s="56" t="str">
        <v/>
      </c>
      <c r="U32" t="str">
        <v/>
      </c>
      <c r="V32" t="str">
        <v/>
      </c>
      <c r="W32" t="str">
        <v/>
      </c>
      <c r="X32" t="str">
        <v/>
      </c>
      <c r="Y32" s="56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  <c r="AE32" t="str">
        <v/>
      </c>
      <c r="AF32" t="str">
        <v/>
      </c>
      <c r="AG32" t="str">
        <v/>
      </c>
      <c r="AH32" t="str">
        <v/>
      </c>
    </row>
    <row r="33" spans="1:34" x14ac:dyDescent="0.25">
      <c r="A33" t="str">
        <v/>
      </c>
      <c r="B33" t="str">
        <v/>
      </c>
      <c r="C33" t="str">
        <v/>
      </c>
      <c r="D33" t="str">
        <v/>
      </c>
      <c r="E33" s="56" t="str">
        <v/>
      </c>
      <c r="F33" t="str">
        <v/>
      </c>
      <c r="G33" t="str">
        <v/>
      </c>
      <c r="H33" t="str">
        <v/>
      </c>
      <c r="I33" t="str">
        <v/>
      </c>
      <c r="J33" s="56" t="str">
        <v/>
      </c>
      <c r="K33" t="str">
        <v/>
      </c>
      <c r="L33" t="str">
        <v/>
      </c>
      <c r="M33" t="str">
        <v/>
      </c>
      <c r="N33" t="str">
        <v/>
      </c>
      <c r="O33" s="56" t="str">
        <v/>
      </c>
      <c r="P33" t="str">
        <v/>
      </c>
      <c r="Q33" t="str">
        <v/>
      </c>
      <c r="R33" t="str">
        <v/>
      </c>
      <c r="S33" t="str">
        <v/>
      </c>
      <c r="T33" s="56" t="str">
        <v/>
      </c>
      <c r="U33" t="str">
        <v/>
      </c>
      <c r="V33" t="str">
        <v/>
      </c>
      <c r="W33" t="str">
        <v/>
      </c>
      <c r="X33" t="str">
        <v/>
      </c>
      <c r="Y33" s="56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  <c r="AE33" t="str">
        <v/>
      </c>
      <c r="AF33" t="str">
        <v/>
      </c>
      <c r="AG33" t="str">
        <v/>
      </c>
      <c r="AH33" t="str">
        <v/>
      </c>
    </row>
    <row r="34" spans="1:34" x14ac:dyDescent="0.25">
      <c r="A34" t="str">
        <v/>
      </c>
      <c r="B34" t="str">
        <v/>
      </c>
      <c r="C34" t="str">
        <v/>
      </c>
      <c r="D34" t="str">
        <v/>
      </c>
      <c r="E34" s="56" t="str">
        <v/>
      </c>
      <c r="F34" t="str">
        <v/>
      </c>
      <c r="G34" t="str">
        <v/>
      </c>
      <c r="H34" t="str">
        <v/>
      </c>
      <c r="I34" t="str">
        <v/>
      </c>
      <c r="J34" s="56" t="str">
        <v/>
      </c>
      <c r="K34" t="str">
        <v/>
      </c>
      <c r="L34" t="str">
        <v/>
      </c>
      <c r="M34" t="str">
        <v/>
      </c>
      <c r="N34" t="str">
        <v/>
      </c>
      <c r="O34" s="56" t="str">
        <v/>
      </c>
      <c r="P34" t="str">
        <v/>
      </c>
      <c r="Q34" t="str">
        <v/>
      </c>
      <c r="R34" t="str">
        <v/>
      </c>
      <c r="S34" t="str">
        <v/>
      </c>
      <c r="T34" s="56" t="str">
        <v/>
      </c>
      <c r="U34" t="str">
        <v/>
      </c>
      <c r="V34" t="str">
        <v/>
      </c>
      <c r="W34" t="str">
        <v/>
      </c>
      <c r="X34" t="str">
        <v/>
      </c>
      <c r="Y34" s="56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  <c r="AE34" t="str">
        <v/>
      </c>
      <c r="AF34" t="str">
        <v/>
      </c>
      <c r="AG34" t="str">
        <v/>
      </c>
      <c r="AH34" t="str">
        <v/>
      </c>
    </row>
    <row r="35" spans="1:34" x14ac:dyDescent="0.25">
      <c r="A35" t="str">
        <v/>
      </c>
      <c r="B35" t="str">
        <v/>
      </c>
      <c r="C35" t="str">
        <v/>
      </c>
      <c r="D35" t="str">
        <v/>
      </c>
      <c r="E35" s="56" t="str">
        <v/>
      </c>
      <c r="F35" t="str">
        <v/>
      </c>
      <c r="G35" t="str">
        <v/>
      </c>
      <c r="H35" t="str">
        <v/>
      </c>
      <c r="I35" t="str">
        <v/>
      </c>
      <c r="J35" s="56" t="str">
        <v/>
      </c>
      <c r="K35" t="str">
        <v/>
      </c>
      <c r="L35" t="str">
        <v/>
      </c>
      <c r="M35" t="str">
        <v/>
      </c>
      <c r="N35" t="str">
        <v/>
      </c>
      <c r="O35" s="56" t="str">
        <v/>
      </c>
      <c r="P35" t="str">
        <v/>
      </c>
      <c r="Q35" t="str">
        <v/>
      </c>
      <c r="R35" t="str">
        <v/>
      </c>
      <c r="S35" t="str">
        <v/>
      </c>
      <c r="T35" s="56" t="str">
        <v/>
      </c>
      <c r="U35" t="str">
        <v/>
      </c>
      <c r="V35" t="str">
        <v/>
      </c>
      <c r="W35" t="str">
        <v/>
      </c>
      <c r="X35" t="str">
        <v/>
      </c>
      <c r="Y35" s="56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  <c r="AE35" t="str">
        <v/>
      </c>
      <c r="AF35" t="str">
        <v/>
      </c>
      <c r="AG35" t="str">
        <v/>
      </c>
      <c r="AH35" t="str">
        <v/>
      </c>
    </row>
    <row r="36" spans="1:34" x14ac:dyDescent="0.25">
      <c r="A36" t="str">
        <v/>
      </c>
      <c r="B36" t="str">
        <v/>
      </c>
      <c r="C36" t="str">
        <v/>
      </c>
      <c r="D36" t="str">
        <v/>
      </c>
      <c r="E36" s="56" t="str">
        <v/>
      </c>
      <c r="F36" t="str">
        <v/>
      </c>
      <c r="G36" t="str">
        <v/>
      </c>
      <c r="H36" t="str">
        <v/>
      </c>
      <c r="I36" t="str">
        <v/>
      </c>
      <c r="J36" s="56" t="str">
        <v/>
      </c>
      <c r="K36" t="str">
        <v/>
      </c>
      <c r="L36" t="str">
        <v/>
      </c>
      <c r="M36" t="str">
        <v/>
      </c>
      <c r="N36" t="str">
        <v/>
      </c>
      <c r="O36" s="56" t="str">
        <v/>
      </c>
      <c r="P36" t="str">
        <v/>
      </c>
      <c r="Q36" t="str">
        <v/>
      </c>
      <c r="R36" t="str">
        <v/>
      </c>
      <c r="S36" t="str">
        <v/>
      </c>
      <c r="T36" s="56" t="str">
        <v/>
      </c>
      <c r="U36" t="str">
        <v/>
      </c>
      <c r="V36" t="str">
        <v/>
      </c>
      <c r="W36" t="str">
        <v/>
      </c>
      <c r="X36" t="str">
        <v/>
      </c>
      <c r="Y36" s="5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  <c r="AE36" t="str">
        <v/>
      </c>
      <c r="AF36" t="str">
        <v/>
      </c>
      <c r="AG36" t="str">
        <v/>
      </c>
      <c r="AH36" t="str">
        <v/>
      </c>
    </row>
    <row r="37" spans="1:34" x14ac:dyDescent="0.25">
      <c r="A37" t="str">
        <v/>
      </c>
      <c r="B37" t="str">
        <v/>
      </c>
      <c r="C37" t="str">
        <v/>
      </c>
      <c r="D37" t="str">
        <v/>
      </c>
      <c r="E37" s="56" t="str">
        <v/>
      </c>
      <c r="F37" t="str">
        <v/>
      </c>
      <c r="G37" t="str">
        <v/>
      </c>
      <c r="H37" t="str">
        <v/>
      </c>
      <c r="I37" t="str">
        <v/>
      </c>
      <c r="J37" s="56" t="str">
        <v/>
      </c>
      <c r="K37" t="str">
        <v/>
      </c>
      <c r="L37" t="str">
        <v/>
      </c>
      <c r="M37" t="str">
        <v/>
      </c>
      <c r="N37" t="str">
        <v/>
      </c>
      <c r="O37" s="56" t="str">
        <v/>
      </c>
      <c r="P37" t="str">
        <v/>
      </c>
      <c r="Q37" t="str">
        <v/>
      </c>
      <c r="R37" t="str">
        <v/>
      </c>
      <c r="S37" t="str">
        <v/>
      </c>
      <c r="T37" s="56" t="str">
        <v/>
      </c>
      <c r="U37" t="str">
        <v/>
      </c>
      <c r="V37" t="str">
        <v/>
      </c>
      <c r="W37" t="str">
        <v/>
      </c>
      <c r="X37" t="str">
        <v/>
      </c>
      <c r="Y37" s="56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  <c r="AE37" t="str">
        <v/>
      </c>
      <c r="AF37" t="str">
        <v/>
      </c>
      <c r="AG37" t="str">
        <v/>
      </c>
      <c r="AH37" t="str">
        <v/>
      </c>
    </row>
    <row r="38" spans="1:34" x14ac:dyDescent="0.25">
      <c r="A38" t="str">
        <v/>
      </c>
      <c r="B38" t="str">
        <v/>
      </c>
      <c r="C38" t="str">
        <v/>
      </c>
      <c r="D38" t="str">
        <v/>
      </c>
      <c r="E38" s="56" t="str">
        <v/>
      </c>
      <c r="F38" t="str">
        <v/>
      </c>
      <c r="G38" t="str">
        <v/>
      </c>
      <c r="H38" t="str">
        <v/>
      </c>
      <c r="I38" t="str">
        <v/>
      </c>
      <c r="J38" s="56" t="str">
        <v/>
      </c>
      <c r="K38" t="str">
        <v/>
      </c>
      <c r="L38" t="str">
        <v/>
      </c>
      <c r="M38" t="str">
        <v/>
      </c>
      <c r="N38" t="str">
        <v/>
      </c>
      <c r="O38" s="56" t="str">
        <v/>
      </c>
      <c r="P38" t="str">
        <v/>
      </c>
      <c r="Q38" t="str">
        <v/>
      </c>
      <c r="R38" t="str">
        <v/>
      </c>
      <c r="S38" t="str">
        <v/>
      </c>
      <c r="T38" s="56" t="str">
        <v/>
      </c>
      <c r="U38" t="str">
        <v/>
      </c>
      <c r="V38" t="str">
        <v/>
      </c>
      <c r="W38" t="str">
        <v/>
      </c>
      <c r="X38" t="str">
        <v/>
      </c>
      <c r="Y38" s="56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  <c r="AE38" t="str">
        <v/>
      </c>
      <c r="AF38" t="str">
        <v/>
      </c>
      <c r="AG38" t="str">
        <v/>
      </c>
      <c r="AH38" t="str">
        <v/>
      </c>
    </row>
    <row r="39" spans="1:34" x14ac:dyDescent="0.25">
      <c r="A39" t="str">
        <v/>
      </c>
      <c r="B39" t="str">
        <v/>
      </c>
      <c r="C39" t="str">
        <v/>
      </c>
      <c r="D39" t="str">
        <v/>
      </c>
      <c r="E39" s="56" t="str">
        <v/>
      </c>
      <c r="F39" t="str">
        <v/>
      </c>
      <c r="G39" t="str">
        <v/>
      </c>
      <c r="H39" t="str">
        <v/>
      </c>
      <c r="I39" t="str">
        <v/>
      </c>
      <c r="J39" s="56" t="str">
        <v/>
      </c>
      <c r="K39" t="str">
        <v/>
      </c>
      <c r="L39" t="str">
        <v/>
      </c>
      <c r="M39" t="str">
        <v/>
      </c>
      <c r="N39" t="str">
        <v/>
      </c>
      <c r="O39" s="56" t="str">
        <v/>
      </c>
      <c r="P39" t="str">
        <v/>
      </c>
      <c r="Q39" t="str">
        <v/>
      </c>
      <c r="R39" t="str">
        <v/>
      </c>
      <c r="S39" t="str">
        <v/>
      </c>
      <c r="T39" s="56" t="str">
        <v/>
      </c>
      <c r="U39" t="str">
        <v/>
      </c>
      <c r="V39" t="str">
        <v/>
      </c>
      <c r="W39" t="str">
        <v/>
      </c>
      <c r="X39" t="str">
        <v/>
      </c>
      <c r="Y39" s="56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  <c r="AE39" t="str">
        <v/>
      </c>
      <c r="AF39" t="str">
        <v/>
      </c>
      <c r="AG39" t="str">
        <v/>
      </c>
      <c r="AH39" t="str">
        <v/>
      </c>
    </row>
    <row r="40" spans="1:34" x14ac:dyDescent="0.25">
      <c r="A40" t="str">
        <v/>
      </c>
      <c r="B40" t="str">
        <v/>
      </c>
      <c r="C40" t="str">
        <v/>
      </c>
      <c r="D40" t="str">
        <v/>
      </c>
      <c r="E40" s="56" t="str">
        <v/>
      </c>
      <c r="F40" t="str">
        <v/>
      </c>
      <c r="G40" t="str">
        <v/>
      </c>
      <c r="H40" t="str">
        <v/>
      </c>
      <c r="I40" t="str">
        <v/>
      </c>
      <c r="J40" s="56" t="str">
        <v/>
      </c>
      <c r="K40" t="str">
        <v/>
      </c>
      <c r="L40" t="str">
        <v/>
      </c>
      <c r="M40" t="str">
        <v/>
      </c>
      <c r="N40" t="str">
        <v/>
      </c>
      <c r="O40" s="56" t="str">
        <v/>
      </c>
      <c r="P40" t="str">
        <v/>
      </c>
      <c r="Q40" t="str">
        <v/>
      </c>
      <c r="R40" t="str">
        <v/>
      </c>
      <c r="S40" t="str">
        <v/>
      </c>
      <c r="T40" s="56" t="str">
        <v/>
      </c>
      <c r="U40" t="str">
        <v/>
      </c>
      <c r="V40" t="str">
        <v/>
      </c>
      <c r="W40" t="str">
        <v/>
      </c>
      <c r="X40" t="str">
        <v/>
      </c>
      <c r="Y40" s="56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  <c r="AE40" t="str">
        <v/>
      </c>
      <c r="AF40" t="str">
        <v/>
      </c>
      <c r="AG40" t="str">
        <v/>
      </c>
      <c r="AH40" t="str">
        <v/>
      </c>
    </row>
  </sheetData>
  <sheetProtection sheet="1" selectLockedCells="1" selectUnlockedCells="1"/>
  <conditionalFormatting sqref="A3:AH40">
    <cfRule type="notContainsBlanks" dxfId="22" priority="1">
      <formula>LEN(TRIM(A3))&gt;0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E12F3-14EE-4086-917A-0A12215D32DB}">
  <sheetPr codeName="Sheet8">
    <tabColor theme="1"/>
  </sheetPr>
  <dimension ref="A1:AV80"/>
  <sheetViews>
    <sheetView topLeftCell="N1" workbookViewId="0">
      <selection activeCell="Y2" sqref="Y2:AF73"/>
    </sheetView>
  </sheetViews>
  <sheetFormatPr defaultRowHeight="15" x14ac:dyDescent="0.25"/>
  <cols>
    <col min="1" max="1" width="6.42578125" bestFit="1" customWidth="1"/>
    <col min="2" max="2" width="11.28515625" bestFit="1" customWidth="1"/>
    <col min="3" max="3" width="18.7109375" bestFit="1" customWidth="1"/>
    <col min="4" max="4" width="12.42578125" bestFit="1" customWidth="1"/>
    <col min="5" max="5" width="7.140625" bestFit="1" customWidth="1"/>
    <col min="6" max="6" width="15" bestFit="1" customWidth="1"/>
    <col min="7" max="7" width="14" bestFit="1" customWidth="1"/>
    <col min="8" max="8" width="8.28515625" bestFit="1" customWidth="1"/>
    <col min="9" max="9" width="6.42578125" bestFit="1" customWidth="1"/>
    <col min="10" max="10" width="11.28515625" bestFit="1" customWidth="1"/>
    <col min="11" max="11" width="19.42578125" bestFit="1" customWidth="1"/>
    <col min="12" max="12" width="12.42578125" bestFit="1" customWidth="1"/>
    <col min="13" max="13" width="7.140625" bestFit="1" customWidth="1"/>
    <col min="14" max="14" width="15" bestFit="1" customWidth="1"/>
    <col min="15" max="15" width="21.85546875" bestFit="1" customWidth="1"/>
    <col min="16" max="16" width="15.5703125" customWidth="1"/>
    <col min="17" max="17" width="6.42578125" bestFit="1" customWidth="1"/>
    <col min="18" max="18" width="11.28515625" bestFit="1" customWidth="1"/>
    <col min="19" max="19" width="23.42578125" bestFit="1" customWidth="1"/>
    <col min="20" max="20" width="12.42578125" bestFit="1" customWidth="1"/>
    <col min="21" max="21" width="7.140625" bestFit="1" customWidth="1"/>
    <col min="22" max="22" width="6.7109375" bestFit="1" customWidth="1"/>
    <col min="23" max="24" width="14" bestFit="1" customWidth="1"/>
    <col min="25" max="25" width="6.42578125" bestFit="1" customWidth="1"/>
    <col min="26" max="26" width="11.28515625" bestFit="1" customWidth="1"/>
    <col min="27" max="27" width="19.7109375" bestFit="1" customWidth="1"/>
    <col min="28" max="28" width="12.42578125" bestFit="1" customWidth="1"/>
    <col min="29" max="29" width="7.140625" bestFit="1" customWidth="1"/>
    <col min="30" max="30" width="15" bestFit="1" customWidth="1"/>
    <col min="31" max="31" width="14" bestFit="1" customWidth="1"/>
    <col min="32" max="32" width="8.28515625" bestFit="1" customWidth="1"/>
    <col min="33" max="33" width="13.5703125" customWidth="1"/>
    <col min="34" max="34" width="6.42578125" bestFit="1" customWidth="1"/>
    <col min="35" max="35" width="8.28515625" bestFit="1" customWidth="1"/>
    <col min="36" max="36" width="12" bestFit="1" customWidth="1"/>
    <col min="37" max="37" width="12.42578125" bestFit="1" customWidth="1"/>
    <col min="38" max="38" width="9.140625" bestFit="1" customWidth="1"/>
    <col min="39" max="39" width="6.7109375" bestFit="1" customWidth="1"/>
    <col min="40" max="40" width="14" bestFit="1" customWidth="1"/>
    <col min="42" max="42" width="6.42578125" bestFit="1" customWidth="1"/>
    <col min="43" max="43" width="8.28515625" bestFit="1" customWidth="1"/>
    <col min="44" max="44" width="14.5703125" bestFit="1" customWidth="1"/>
    <col min="45" max="45" width="12.42578125" bestFit="1" customWidth="1"/>
    <col min="46" max="46" width="9.140625" bestFit="1" customWidth="1"/>
    <col min="47" max="47" width="15" bestFit="1" customWidth="1"/>
    <col min="48" max="48" width="14" bestFit="1" customWidth="1"/>
  </cols>
  <sheetData>
    <row r="1" spans="1:48" ht="41.25" customHeight="1" x14ac:dyDescent="0.4">
      <c r="A1" s="80" t="s">
        <v>128</v>
      </c>
      <c r="B1" s="80"/>
      <c r="C1" s="80"/>
      <c r="D1" s="80"/>
      <c r="E1" s="80"/>
      <c r="F1" s="80"/>
      <c r="G1" s="80"/>
      <c r="H1" s="41"/>
      <c r="J1" s="79" t="s">
        <v>333</v>
      </c>
      <c r="K1" s="79"/>
      <c r="L1" s="79"/>
      <c r="M1" s="79"/>
      <c r="N1" s="79"/>
      <c r="O1" s="79"/>
      <c r="P1" s="79"/>
      <c r="R1" s="79" t="s">
        <v>358</v>
      </c>
      <c r="S1" s="79"/>
      <c r="T1" s="79"/>
      <c r="U1" s="79"/>
      <c r="V1" s="79"/>
      <c r="W1" s="79"/>
      <c r="X1" s="79"/>
      <c r="Z1" s="79" t="s">
        <v>482</v>
      </c>
      <c r="AA1" s="79"/>
      <c r="AB1" s="79"/>
      <c r="AC1" s="79"/>
      <c r="AD1" s="79"/>
      <c r="AE1" s="79"/>
      <c r="AF1" s="31"/>
      <c r="AG1" s="31"/>
      <c r="AH1" s="79" t="s">
        <v>568</v>
      </c>
      <c r="AI1" s="79"/>
      <c r="AJ1" s="79"/>
      <c r="AK1" s="79"/>
      <c r="AL1" s="79"/>
      <c r="AM1" s="79"/>
      <c r="AN1" s="31"/>
      <c r="AP1" s="79" t="s">
        <v>658</v>
      </c>
      <c r="AQ1" s="79"/>
      <c r="AR1" s="79"/>
      <c r="AS1" s="79"/>
      <c r="AT1" s="79"/>
      <c r="AU1" s="79"/>
      <c r="AV1" s="79"/>
    </row>
    <row r="2" spans="1:48" x14ac:dyDescent="0.25">
      <c r="A2" t="s">
        <v>56</v>
      </c>
      <c r="B2" t="s">
        <v>61</v>
      </c>
      <c r="C2" t="s">
        <v>62</v>
      </c>
      <c r="D2" t="s">
        <v>63</v>
      </c>
      <c r="E2" t="s">
        <v>57</v>
      </c>
      <c r="F2" t="s">
        <v>64</v>
      </c>
      <c r="G2" t="s">
        <v>65</v>
      </c>
      <c r="I2" t="s">
        <v>56</v>
      </c>
      <c r="J2" t="s">
        <v>61</v>
      </c>
      <c r="K2" t="s">
        <v>62</v>
      </c>
      <c r="L2" t="s">
        <v>63</v>
      </c>
      <c r="M2" t="s">
        <v>57</v>
      </c>
      <c r="N2" t="s">
        <v>64</v>
      </c>
      <c r="O2" t="s">
        <v>65</v>
      </c>
      <c r="Q2" t="s">
        <v>56</v>
      </c>
      <c r="R2" t="s">
        <v>61</v>
      </c>
      <c r="S2" t="s">
        <v>62</v>
      </c>
      <c r="T2" t="s">
        <v>63</v>
      </c>
      <c r="U2" t="s">
        <v>57</v>
      </c>
      <c r="V2" t="s">
        <v>64</v>
      </c>
      <c r="W2" t="s">
        <v>65</v>
      </c>
      <c r="Y2" t="s">
        <v>56</v>
      </c>
      <c r="Z2" t="s">
        <v>61</v>
      </c>
      <c r="AA2" t="s">
        <v>62</v>
      </c>
      <c r="AB2" t="s">
        <v>63</v>
      </c>
      <c r="AC2" t="s">
        <v>57</v>
      </c>
      <c r="AD2" t="s">
        <v>64</v>
      </c>
      <c r="AE2" t="s">
        <v>65</v>
      </c>
      <c r="AF2" t="s">
        <v>567</v>
      </c>
      <c r="AH2" t="s">
        <v>56</v>
      </c>
      <c r="AI2" t="s">
        <v>567</v>
      </c>
      <c r="AJ2" t="s">
        <v>62</v>
      </c>
      <c r="AK2" t="s">
        <v>63</v>
      </c>
      <c r="AL2" t="s">
        <v>57</v>
      </c>
      <c r="AM2" t="s">
        <v>64</v>
      </c>
      <c r="AN2" t="s">
        <v>65</v>
      </c>
      <c r="AP2" t="s">
        <v>56</v>
      </c>
      <c r="AQ2" t="s">
        <v>567</v>
      </c>
      <c r="AR2" t="s">
        <v>62</v>
      </c>
      <c r="AS2" t="s">
        <v>63</v>
      </c>
      <c r="AT2" t="s">
        <v>57</v>
      </c>
      <c r="AU2" t="s">
        <v>64</v>
      </c>
      <c r="AV2" t="s">
        <v>65</v>
      </c>
    </row>
    <row r="3" spans="1:48" ht="15.75" x14ac:dyDescent="0.25">
      <c r="A3">
        <v>1</v>
      </c>
      <c r="C3" t="s">
        <v>66</v>
      </c>
      <c r="D3" t="s">
        <v>130</v>
      </c>
      <c r="E3">
        <v>184662</v>
      </c>
      <c r="F3" t="s">
        <v>176</v>
      </c>
      <c r="I3">
        <v>1</v>
      </c>
      <c r="K3" t="s">
        <v>271</v>
      </c>
      <c r="L3" t="s">
        <v>528</v>
      </c>
      <c r="M3">
        <v>185404</v>
      </c>
      <c r="N3" t="s">
        <v>272</v>
      </c>
      <c r="Q3">
        <v>1</v>
      </c>
      <c r="S3" t="s">
        <v>334</v>
      </c>
      <c r="T3" t="s">
        <v>551</v>
      </c>
      <c r="U3">
        <v>185416</v>
      </c>
      <c r="Y3">
        <v>1</v>
      </c>
      <c r="Z3" t="s">
        <v>4</v>
      </c>
      <c r="AA3" t="s">
        <v>359</v>
      </c>
      <c r="AB3" t="s">
        <v>483</v>
      </c>
      <c r="AC3">
        <v>185405</v>
      </c>
      <c r="AD3" t="s">
        <v>360</v>
      </c>
      <c r="AF3">
        <v>0</v>
      </c>
      <c r="AH3">
        <v>1</v>
      </c>
      <c r="AI3">
        <v>0</v>
      </c>
      <c r="AJ3" t="s">
        <v>569</v>
      </c>
      <c r="AK3" t="s">
        <v>5</v>
      </c>
      <c r="AL3" s="61">
        <v>183452</v>
      </c>
      <c r="AP3">
        <v>1</v>
      </c>
      <c r="AQ3">
        <v>0</v>
      </c>
      <c r="AR3" t="s">
        <v>593</v>
      </c>
      <c r="AS3" t="s">
        <v>594</v>
      </c>
      <c r="AT3" s="62">
        <v>185878</v>
      </c>
      <c r="AU3" t="s">
        <v>595</v>
      </c>
    </row>
    <row r="4" spans="1:48" ht="15.75" x14ac:dyDescent="0.25">
      <c r="A4">
        <v>1</v>
      </c>
      <c r="B4" t="s">
        <v>4</v>
      </c>
      <c r="C4" t="s">
        <v>69</v>
      </c>
      <c r="D4" t="s">
        <v>17</v>
      </c>
      <c r="E4">
        <v>184664</v>
      </c>
      <c r="F4" t="s">
        <v>179</v>
      </c>
      <c r="G4" t="s">
        <v>260</v>
      </c>
      <c r="I4">
        <v>1</v>
      </c>
      <c r="K4" t="s">
        <v>273</v>
      </c>
      <c r="L4" t="s">
        <v>19</v>
      </c>
      <c r="M4">
        <v>185406</v>
      </c>
      <c r="N4" t="s">
        <v>274</v>
      </c>
      <c r="Q4">
        <v>1</v>
      </c>
      <c r="S4" t="s">
        <v>335</v>
      </c>
      <c r="T4" t="s">
        <v>27</v>
      </c>
      <c r="U4">
        <v>185528</v>
      </c>
      <c r="Y4">
        <v>1</v>
      </c>
      <c r="Z4">
        <v>185407</v>
      </c>
      <c r="AA4" t="s">
        <v>273</v>
      </c>
      <c r="AB4" t="s">
        <v>30</v>
      </c>
      <c r="AC4">
        <v>185407</v>
      </c>
      <c r="AD4" t="s">
        <v>361</v>
      </c>
      <c r="AF4">
        <v>1</v>
      </c>
      <c r="AH4">
        <v>0</v>
      </c>
      <c r="AI4">
        <v>1</v>
      </c>
      <c r="AJ4" t="s">
        <v>570</v>
      </c>
      <c r="AK4" t="s">
        <v>17</v>
      </c>
      <c r="AL4" s="62">
        <v>185883</v>
      </c>
      <c r="AP4">
        <v>1</v>
      </c>
      <c r="AQ4">
        <v>1</v>
      </c>
      <c r="AR4" t="s">
        <v>70</v>
      </c>
      <c r="AS4" t="s">
        <v>52</v>
      </c>
      <c r="AT4" s="61">
        <v>185879</v>
      </c>
      <c r="AU4" t="s">
        <v>596</v>
      </c>
    </row>
    <row r="5" spans="1:48" ht="15.75" x14ac:dyDescent="0.25">
      <c r="A5">
        <v>1</v>
      </c>
      <c r="C5" t="s">
        <v>69</v>
      </c>
      <c r="D5" t="s">
        <v>132</v>
      </c>
      <c r="E5">
        <v>184665</v>
      </c>
      <c r="F5" t="s">
        <v>180</v>
      </c>
      <c r="I5">
        <v>1</v>
      </c>
      <c r="K5" t="s">
        <v>261</v>
      </c>
      <c r="L5" t="s">
        <v>529</v>
      </c>
      <c r="M5">
        <v>185409</v>
      </c>
      <c r="N5" t="s">
        <v>275</v>
      </c>
      <c r="Q5">
        <v>1</v>
      </c>
      <c r="S5" t="s">
        <v>336</v>
      </c>
      <c r="T5" t="s">
        <v>552</v>
      </c>
      <c r="U5">
        <v>185418</v>
      </c>
      <c r="Y5">
        <v>1</v>
      </c>
      <c r="Z5">
        <v>185532</v>
      </c>
      <c r="AA5" t="s">
        <v>362</v>
      </c>
      <c r="AB5" t="s">
        <v>27</v>
      </c>
      <c r="AC5">
        <v>185532</v>
      </c>
      <c r="AD5" t="s">
        <v>363</v>
      </c>
      <c r="AF5">
        <v>2</v>
      </c>
      <c r="AH5">
        <v>1</v>
      </c>
      <c r="AI5">
        <v>2</v>
      </c>
      <c r="AJ5" t="s">
        <v>571</v>
      </c>
      <c r="AK5" t="s">
        <v>43</v>
      </c>
      <c r="AL5" s="62">
        <v>185911</v>
      </c>
      <c r="AP5">
        <v>1</v>
      </c>
      <c r="AQ5">
        <v>2</v>
      </c>
      <c r="AR5" t="s">
        <v>7</v>
      </c>
      <c r="AS5" t="s">
        <v>9</v>
      </c>
      <c r="AT5" s="62">
        <v>185880</v>
      </c>
      <c r="AU5" t="s">
        <v>597</v>
      </c>
    </row>
    <row r="6" spans="1:48" ht="15.75" x14ac:dyDescent="0.25">
      <c r="A6">
        <v>1</v>
      </c>
      <c r="B6" t="s">
        <v>4</v>
      </c>
      <c r="C6" t="s">
        <v>71</v>
      </c>
      <c r="D6" t="s">
        <v>133</v>
      </c>
      <c r="E6">
        <v>184735</v>
      </c>
      <c r="F6" t="s">
        <v>183</v>
      </c>
      <c r="G6" t="s">
        <v>260</v>
      </c>
      <c r="I6">
        <v>1</v>
      </c>
      <c r="K6" t="s">
        <v>276</v>
      </c>
      <c r="L6" t="s">
        <v>530</v>
      </c>
      <c r="M6">
        <v>185410</v>
      </c>
      <c r="N6" t="s">
        <v>277</v>
      </c>
      <c r="Q6">
        <v>1</v>
      </c>
      <c r="S6" t="s">
        <v>337</v>
      </c>
      <c r="T6" t="s">
        <v>28</v>
      </c>
      <c r="U6">
        <v>185421</v>
      </c>
      <c r="Y6">
        <v>1</v>
      </c>
      <c r="Z6">
        <v>185408</v>
      </c>
      <c r="AA6" t="s">
        <v>364</v>
      </c>
      <c r="AB6" t="s">
        <v>133</v>
      </c>
      <c r="AC6">
        <v>185408</v>
      </c>
      <c r="AD6" t="s">
        <v>365</v>
      </c>
      <c r="AF6">
        <v>3</v>
      </c>
      <c r="AH6">
        <v>1</v>
      </c>
      <c r="AI6">
        <v>3</v>
      </c>
      <c r="AJ6" t="s">
        <v>572</v>
      </c>
      <c r="AK6" t="s">
        <v>22</v>
      </c>
      <c r="AL6" s="62">
        <v>185895</v>
      </c>
      <c r="AP6">
        <v>1</v>
      </c>
      <c r="AQ6">
        <v>3</v>
      </c>
      <c r="AR6" t="s">
        <v>598</v>
      </c>
      <c r="AS6" t="s">
        <v>148</v>
      </c>
      <c r="AT6" s="62">
        <v>185881</v>
      </c>
      <c r="AU6" t="s">
        <v>599</v>
      </c>
    </row>
    <row r="7" spans="1:48" ht="15.75" x14ac:dyDescent="0.25">
      <c r="A7">
        <v>1</v>
      </c>
      <c r="C7" t="s">
        <v>72</v>
      </c>
      <c r="D7" t="s">
        <v>134</v>
      </c>
      <c r="E7">
        <v>184668</v>
      </c>
      <c r="F7" t="s">
        <v>184</v>
      </c>
      <c r="I7">
        <v>1</v>
      </c>
      <c r="K7" t="s">
        <v>278</v>
      </c>
      <c r="L7" t="s">
        <v>531</v>
      </c>
      <c r="M7">
        <v>185411</v>
      </c>
      <c r="N7" t="s">
        <v>279</v>
      </c>
      <c r="Q7">
        <v>1</v>
      </c>
      <c r="S7" t="s">
        <v>338</v>
      </c>
      <c r="T7" t="s">
        <v>55</v>
      </c>
      <c r="U7">
        <v>185423</v>
      </c>
      <c r="Y7">
        <v>1</v>
      </c>
      <c r="Z7">
        <v>185412</v>
      </c>
      <c r="AA7" t="s">
        <v>366</v>
      </c>
      <c r="AB7" t="s">
        <v>267</v>
      </c>
      <c r="AC7">
        <v>185412</v>
      </c>
      <c r="AD7" t="s">
        <v>367</v>
      </c>
      <c r="AF7">
        <v>4</v>
      </c>
      <c r="AH7">
        <v>1</v>
      </c>
      <c r="AI7">
        <v>4</v>
      </c>
      <c r="AJ7" t="s">
        <v>573</v>
      </c>
      <c r="AK7" t="s">
        <v>574</v>
      </c>
      <c r="AL7" s="62">
        <v>185896</v>
      </c>
      <c r="AP7">
        <v>0</v>
      </c>
      <c r="AQ7">
        <v>4</v>
      </c>
      <c r="AR7" t="s">
        <v>79</v>
      </c>
      <c r="AS7" t="s">
        <v>600</v>
      </c>
      <c r="AT7" s="62">
        <v>185925</v>
      </c>
      <c r="AU7" t="s">
        <v>601</v>
      </c>
    </row>
    <row r="8" spans="1:48" ht="15.75" x14ac:dyDescent="0.25">
      <c r="A8">
        <v>1</v>
      </c>
      <c r="C8" t="s">
        <v>73</v>
      </c>
      <c r="D8" t="s">
        <v>33</v>
      </c>
      <c r="E8">
        <v>184669</v>
      </c>
      <c r="F8" t="s">
        <v>185</v>
      </c>
      <c r="I8">
        <v>1</v>
      </c>
      <c r="K8" t="s">
        <v>280</v>
      </c>
      <c r="L8" t="s">
        <v>532</v>
      </c>
      <c r="M8">
        <v>185414</v>
      </c>
      <c r="N8" t="s">
        <v>281</v>
      </c>
      <c r="Q8">
        <v>1</v>
      </c>
      <c r="S8" t="s">
        <v>341</v>
      </c>
      <c r="T8" t="s">
        <v>555</v>
      </c>
      <c r="U8">
        <v>185442</v>
      </c>
      <c r="Y8">
        <v>1</v>
      </c>
      <c r="Z8" t="s">
        <v>4</v>
      </c>
      <c r="AA8" t="s">
        <v>262</v>
      </c>
      <c r="AB8" t="s">
        <v>267</v>
      </c>
      <c r="AC8">
        <v>185415</v>
      </c>
      <c r="AD8" t="s">
        <v>369</v>
      </c>
      <c r="AF8">
        <v>5</v>
      </c>
      <c r="AH8">
        <v>1</v>
      </c>
      <c r="AI8">
        <v>5</v>
      </c>
      <c r="AJ8" t="s">
        <v>575</v>
      </c>
      <c r="AK8" t="s">
        <v>576</v>
      </c>
      <c r="AL8" s="62">
        <v>185898</v>
      </c>
      <c r="AP8">
        <v>1</v>
      </c>
      <c r="AQ8">
        <v>5</v>
      </c>
      <c r="AR8" t="s">
        <v>602</v>
      </c>
      <c r="AS8" t="s">
        <v>603</v>
      </c>
      <c r="AT8" s="62">
        <v>185884</v>
      </c>
      <c r="AU8" t="s">
        <v>604</v>
      </c>
    </row>
    <row r="9" spans="1:48" ht="15.75" x14ac:dyDescent="0.25">
      <c r="A9">
        <v>1</v>
      </c>
      <c r="C9" t="s">
        <v>74</v>
      </c>
      <c r="D9" t="s">
        <v>47</v>
      </c>
      <c r="E9">
        <v>184670</v>
      </c>
      <c r="F9" t="s">
        <v>186</v>
      </c>
      <c r="I9">
        <v>1</v>
      </c>
      <c r="K9" t="s">
        <v>282</v>
      </c>
      <c r="L9" t="s">
        <v>533</v>
      </c>
      <c r="M9">
        <v>185417</v>
      </c>
      <c r="N9" t="s">
        <v>283</v>
      </c>
      <c r="Q9">
        <v>1</v>
      </c>
      <c r="S9" t="s">
        <v>343</v>
      </c>
      <c r="T9" t="s">
        <v>137</v>
      </c>
      <c r="U9">
        <v>185452</v>
      </c>
      <c r="Y9">
        <v>1</v>
      </c>
      <c r="Z9" t="s">
        <v>4</v>
      </c>
      <c r="AA9" t="s">
        <v>370</v>
      </c>
      <c r="AB9" t="s">
        <v>485</v>
      </c>
      <c r="AC9">
        <v>185527</v>
      </c>
      <c r="AD9" t="s">
        <v>371</v>
      </c>
      <c r="AF9">
        <v>6</v>
      </c>
      <c r="AH9">
        <v>1</v>
      </c>
      <c r="AI9">
        <v>6</v>
      </c>
      <c r="AJ9" t="s">
        <v>577</v>
      </c>
      <c r="AK9" t="s">
        <v>550</v>
      </c>
      <c r="AL9" s="62">
        <v>179661</v>
      </c>
      <c r="AP9">
        <v>1</v>
      </c>
      <c r="AQ9">
        <v>6</v>
      </c>
      <c r="AR9" t="s">
        <v>605</v>
      </c>
      <c r="AS9" t="s">
        <v>54</v>
      </c>
      <c r="AT9" s="62">
        <v>185882</v>
      </c>
      <c r="AU9" t="s">
        <v>606</v>
      </c>
    </row>
    <row r="10" spans="1:48" ht="15.75" x14ac:dyDescent="0.25">
      <c r="A10">
        <v>1</v>
      </c>
      <c r="B10" t="s">
        <v>4</v>
      </c>
      <c r="C10" t="s">
        <v>75</v>
      </c>
      <c r="D10" t="s">
        <v>135</v>
      </c>
      <c r="E10">
        <v>180532</v>
      </c>
      <c r="F10" t="s">
        <v>187</v>
      </c>
      <c r="G10" t="s">
        <v>260</v>
      </c>
      <c r="I10">
        <v>1</v>
      </c>
      <c r="K10" t="s">
        <v>284</v>
      </c>
      <c r="L10" t="s">
        <v>534</v>
      </c>
      <c r="M10">
        <v>185540</v>
      </c>
      <c r="N10" t="s">
        <v>285</v>
      </c>
      <c r="Q10">
        <v>1</v>
      </c>
      <c r="S10" t="s">
        <v>344</v>
      </c>
      <c r="T10" t="s">
        <v>556</v>
      </c>
      <c r="U10">
        <v>185455</v>
      </c>
      <c r="Y10">
        <v>1</v>
      </c>
      <c r="Z10">
        <v>185419</v>
      </c>
      <c r="AA10" t="s">
        <v>372</v>
      </c>
      <c r="AB10" t="s">
        <v>263</v>
      </c>
      <c r="AC10">
        <v>185419</v>
      </c>
      <c r="AD10" t="s">
        <v>373</v>
      </c>
      <c r="AF10">
        <v>7</v>
      </c>
      <c r="AH10">
        <v>1</v>
      </c>
      <c r="AI10">
        <v>7</v>
      </c>
      <c r="AJ10" t="s">
        <v>578</v>
      </c>
      <c r="AK10" t="s">
        <v>579</v>
      </c>
      <c r="AL10" s="61">
        <v>185893</v>
      </c>
      <c r="AP10">
        <v>1</v>
      </c>
      <c r="AQ10">
        <v>7</v>
      </c>
      <c r="AR10" t="s">
        <v>607</v>
      </c>
      <c r="AS10" t="s">
        <v>608</v>
      </c>
      <c r="AT10" s="62">
        <v>185894</v>
      </c>
      <c r="AU10" t="s">
        <v>609</v>
      </c>
    </row>
    <row r="11" spans="1:48" ht="15.75" x14ac:dyDescent="0.25">
      <c r="A11">
        <v>1</v>
      </c>
      <c r="C11" t="s">
        <v>76</v>
      </c>
      <c r="D11" t="s">
        <v>136</v>
      </c>
      <c r="E11">
        <v>184730</v>
      </c>
      <c r="F11" t="s">
        <v>188</v>
      </c>
      <c r="I11">
        <v>1</v>
      </c>
      <c r="K11" t="s">
        <v>286</v>
      </c>
      <c r="L11" t="s">
        <v>535</v>
      </c>
      <c r="M11">
        <v>185525</v>
      </c>
      <c r="N11" t="s">
        <v>287</v>
      </c>
      <c r="Q11">
        <v>1</v>
      </c>
      <c r="S11" t="s">
        <v>347</v>
      </c>
      <c r="T11" t="s">
        <v>20</v>
      </c>
      <c r="U11">
        <v>185474</v>
      </c>
      <c r="Y11">
        <v>1</v>
      </c>
      <c r="Z11">
        <v>185420</v>
      </c>
      <c r="AA11" t="s">
        <v>374</v>
      </c>
      <c r="AB11" t="s">
        <v>486</v>
      </c>
      <c r="AC11">
        <v>185420</v>
      </c>
      <c r="AD11" t="s">
        <v>375</v>
      </c>
      <c r="AF11">
        <v>8</v>
      </c>
      <c r="AH11">
        <v>0</v>
      </c>
      <c r="AI11">
        <v>8</v>
      </c>
      <c r="AJ11" t="s">
        <v>580</v>
      </c>
      <c r="AK11" t="s">
        <v>581</v>
      </c>
      <c r="AL11" s="62">
        <v>185888</v>
      </c>
      <c r="AP11">
        <v>1</v>
      </c>
      <c r="AQ11">
        <v>8</v>
      </c>
      <c r="AR11" t="s">
        <v>610</v>
      </c>
      <c r="AS11" t="s">
        <v>611</v>
      </c>
      <c r="AT11" s="62">
        <v>185886</v>
      </c>
      <c r="AU11" t="s">
        <v>612</v>
      </c>
    </row>
    <row r="12" spans="1:48" ht="15.75" x14ac:dyDescent="0.25">
      <c r="A12">
        <v>1</v>
      </c>
      <c r="B12" t="s">
        <v>4</v>
      </c>
      <c r="C12" t="s">
        <v>77</v>
      </c>
      <c r="D12" t="s">
        <v>137</v>
      </c>
      <c r="E12">
        <v>182490</v>
      </c>
      <c r="F12" t="s">
        <v>189</v>
      </c>
      <c r="G12" t="s">
        <v>260</v>
      </c>
      <c r="I12">
        <v>1</v>
      </c>
      <c r="K12" t="s">
        <v>288</v>
      </c>
      <c r="L12" t="s">
        <v>38</v>
      </c>
      <c r="M12">
        <v>185429</v>
      </c>
      <c r="N12" t="s">
        <v>289</v>
      </c>
      <c r="Q12">
        <v>1</v>
      </c>
      <c r="S12" t="s">
        <v>348</v>
      </c>
      <c r="T12" t="s">
        <v>558</v>
      </c>
      <c r="U12">
        <v>185477</v>
      </c>
      <c r="Y12">
        <v>1</v>
      </c>
      <c r="Z12">
        <v>185425</v>
      </c>
      <c r="AA12" t="s">
        <v>377</v>
      </c>
      <c r="AB12" t="s">
        <v>28</v>
      </c>
      <c r="AC12">
        <v>185425</v>
      </c>
      <c r="AD12" t="s">
        <v>378</v>
      </c>
      <c r="AF12">
        <v>9</v>
      </c>
      <c r="AH12">
        <v>1</v>
      </c>
      <c r="AI12">
        <v>9</v>
      </c>
      <c r="AJ12" t="s">
        <v>582</v>
      </c>
      <c r="AK12" t="s">
        <v>583</v>
      </c>
      <c r="AL12" s="62">
        <v>185916</v>
      </c>
      <c r="AP12">
        <v>1</v>
      </c>
      <c r="AQ12">
        <v>9</v>
      </c>
      <c r="AR12" t="s">
        <v>613</v>
      </c>
      <c r="AS12" t="s">
        <v>614</v>
      </c>
      <c r="AT12" s="62">
        <v>185912</v>
      </c>
      <c r="AU12" t="s">
        <v>615</v>
      </c>
    </row>
    <row r="13" spans="1:48" ht="15.75" x14ac:dyDescent="0.25">
      <c r="A13">
        <v>1</v>
      </c>
      <c r="C13" t="s">
        <v>78</v>
      </c>
      <c r="D13" t="s">
        <v>138</v>
      </c>
      <c r="E13">
        <v>184672</v>
      </c>
      <c r="F13" t="s">
        <v>190</v>
      </c>
      <c r="I13">
        <v>1</v>
      </c>
      <c r="K13" t="s">
        <v>79</v>
      </c>
      <c r="L13" t="s">
        <v>536</v>
      </c>
      <c r="M13">
        <v>185529</v>
      </c>
      <c r="N13" t="s">
        <v>290</v>
      </c>
      <c r="Q13">
        <v>1</v>
      </c>
      <c r="S13" t="s">
        <v>350</v>
      </c>
      <c r="T13" t="s">
        <v>559</v>
      </c>
      <c r="U13">
        <v>185482</v>
      </c>
      <c r="Y13">
        <v>1</v>
      </c>
      <c r="Z13">
        <v>185426</v>
      </c>
      <c r="AA13" t="s">
        <v>7</v>
      </c>
      <c r="AB13" t="s">
        <v>8</v>
      </c>
      <c r="AC13">
        <v>185426</v>
      </c>
      <c r="AD13" t="s">
        <v>379</v>
      </c>
      <c r="AF13">
        <v>10</v>
      </c>
      <c r="AH13">
        <v>0</v>
      </c>
      <c r="AI13">
        <v>10</v>
      </c>
      <c r="AJ13" t="s">
        <v>584</v>
      </c>
      <c r="AK13" t="s">
        <v>554</v>
      </c>
      <c r="AL13" s="62">
        <v>185920</v>
      </c>
      <c r="AP13">
        <v>1</v>
      </c>
      <c r="AQ13">
        <v>10</v>
      </c>
      <c r="AR13" t="s">
        <v>616</v>
      </c>
      <c r="AS13" t="s">
        <v>19</v>
      </c>
      <c r="AT13" s="62">
        <v>185887</v>
      </c>
      <c r="AU13" t="s">
        <v>617</v>
      </c>
    </row>
    <row r="14" spans="1:48" ht="15.75" x14ac:dyDescent="0.25">
      <c r="A14">
        <v>1</v>
      </c>
      <c r="C14" t="s">
        <v>36</v>
      </c>
      <c r="D14" t="s">
        <v>9</v>
      </c>
      <c r="E14">
        <v>184673</v>
      </c>
      <c r="F14" t="s">
        <v>191</v>
      </c>
      <c r="I14">
        <v>1</v>
      </c>
      <c r="K14" t="s">
        <v>291</v>
      </c>
      <c r="L14" t="s">
        <v>267</v>
      </c>
      <c r="M14">
        <v>185530</v>
      </c>
      <c r="N14" t="s">
        <v>292</v>
      </c>
      <c r="Q14">
        <v>1</v>
      </c>
      <c r="S14" t="s">
        <v>351</v>
      </c>
      <c r="T14" t="s">
        <v>43</v>
      </c>
      <c r="U14">
        <v>185495</v>
      </c>
      <c r="Y14">
        <v>1</v>
      </c>
      <c r="Z14">
        <v>185427</v>
      </c>
      <c r="AA14" t="s">
        <v>380</v>
      </c>
      <c r="AB14" t="s">
        <v>489</v>
      </c>
      <c r="AC14">
        <v>185427</v>
      </c>
      <c r="AD14" t="s">
        <v>381</v>
      </c>
      <c r="AF14">
        <v>11</v>
      </c>
      <c r="AH14">
        <v>1</v>
      </c>
      <c r="AI14">
        <v>11</v>
      </c>
      <c r="AJ14" t="s">
        <v>584</v>
      </c>
      <c r="AK14" t="s">
        <v>585</v>
      </c>
      <c r="AL14" s="62">
        <v>185921</v>
      </c>
      <c r="AP14">
        <v>1</v>
      </c>
      <c r="AQ14">
        <v>11</v>
      </c>
      <c r="AR14" t="s">
        <v>618</v>
      </c>
      <c r="AS14" t="s">
        <v>52</v>
      </c>
      <c r="AT14" s="62">
        <v>185897</v>
      </c>
      <c r="AU14" t="s">
        <v>619</v>
      </c>
    </row>
    <row r="15" spans="1:48" ht="15.75" x14ac:dyDescent="0.25">
      <c r="A15">
        <v>1</v>
      </c>
      <c r="C15" t="s">
        <v>80</v>
      </c>
      <c r="D15" t="s">
        <v>139</v>
      </c>
      <c r="E15">
        <v>184675</v>
      </c>
      <c r="F15" t="s">
        <v>193</v>
      </c>
      <c r="I15">
        <v>1</v>
      </c>
      <c r="K15" t="s">
        <v>297</v>
      </c>
      <c r="L15" t="s">
        <v>539</v>
      </c>
      <c r="M15">
        <v>185438</v>
      </c>
      <c r="N15" t="s">
        <v>298</v>
      </c>
      <c r="Q15">
        <v>1</v>
      </c>
      <c r="S15" t="s">
        <v>354</v>
      </c>
      <c r="T15" t="s">
        <v>560</v>
      </c>
      <c r="U15">
        <v>185505</v>
      </c>
      <c r="Y15">
        <v>1</v>
      </c>
      <c r="Z15">
        <v>185428</v>
      </c>
      <c r="AA15" t="s">
        <v>382</v>
      </c>
      <c r="AB15" t="s">
        <v>490</v>
      </c>
      <c r="AC15">
        <v>185428</v>
      </c>
      <c r="AD15" t="s">
        <v>383</v>
      </c>
      <c r="AF15">
        <v>12</v>
      </c>
      <c r="AH15">
        <v>0</v>
      </c>
      <c r="AI15">
        <v>12</v>
      </c>
      <c r="AJ15" t="s">
        <v>586</v>
      </c>
      <c r="AK15" t="s">
        <v>492</v>
      </c>
      <c r="AL15" s="62">
        <v>185923</v>
      </c>
      <c r="AP15">
        <v>0</v>
      </c>
      <c r="AQ15">
        <v>12</v>
      </c>
      <c r="AR15" t="s">
        <v>44</v>
      </c>
      <c r="AS15" t="s">
        <v>38</v>
      </c>
      <c r="AT15" s="62">
        <v>185913</v>
      </c>
      <c r="AU15" t="s">
        <v>620</v>
      </c>
    </row>
    <row r="16" spans="1:48" ht="15.75" x14ac:dyDescent="0.25">
      <c r="A16">
        <v>1</v>
      </c>
      <c r="C16" t="s">
        <v>37</v>
      </c>
      <c r="D16" t="s">
        <v>140</v>
      </c>
      <c r="E16">
        <v>184676</v>
      </c>
      <c r="F16" t="s">
        <v>194</v>
      </c>
      <c r="I16">
        <v>1</v>
      </c>
      <c r="K16" t="s">
        <v>299</v>
      </c>
      <c r="L16" t="s">
        <v>540</v>
      </c>
      <c r="M16">
        <v>185443</v>
      </c>
      <c r="N16" t="s">
        <v>300</v>
      </c>
      <c r="Q16">
        <v>1</v>
      </c>
      <c r="S16" t="s">
        <v>39</v>
      </c>
      <c r="T16" t="s">
        <v>266</v>
      </c>
      <c r="U16">
        <v>185512</v>
      </c>
      <c r="Y16">
        <v>1</v>
      </c>
      <c r="Z16">
        <v>185430</v>
      </c>
      <c r="AA16" t="s">
        <v>79</v>
      </c>
      <c r="AB16" t="s">
        <v>491</v>
      </c>
      <c r="AC16">
        <v>185430</v>
      </c>
      <c r="AD16" t="s">
        <v>384</v>
      </c>
      <c r="AF16">
        <v>13</v>
      </c>
      <c r="AH16">
        <v>1</v>
      </c>
      <c r="AI16">
        <v>13</v>
      </c>
      <c r="AJ16" t="s">
        <v>587</v>
      </c>
      <c r="AK16" t="s">
        <v>588</v>
      </c>
      <c r="AL16" s="62">
        <v>185901</v>
      </c>
      <c r="AP16">
        <v>1</v>
      </c>
      <c r="AQ16">
        <v>13</v>
      </c>
      <c r="AR16" t="s">
        <v>621</v>
      </c>
      <c r="AS16" t="s">
        <v>622</v>
      </c>
      <c r="AT16" s="62">
        <v>185899</v>
      </c>
      <c r="AU16" t="s">
        <v>623</v>
      </c>
    </row>
    <row r="17" spans="1:47" ht="15.75" x14ac:dyDescent="0.25">
      <c r="A17">
        <v>1</v>
      </c>
      <c r="C17" t="s">
        <v>81</v>
      </c>
      <c r="D17" t="s">
        <v>141</v>
      </c>
      <c r="E17">
        <v>184677</v>
      </c>
      <c r="F17" t="s">
        <v>195</v>
      </c>
      <c r="I17">
        <v>1</v>
      </c>
      <c r="K17" t="s">
        <v>301</v>
      </c>
      <c r="L17" t="s">
        <v>541</v>
      </c>
      <c r="M17">
        <v>185444</v>
      </c>
      <c r="N17" t="s">
        <v>302</v>
      </c>
      <c r="Q17">
        <v>1</v>
      </c>
      <c r="S17" t="s">
        <v>356</v>
      </c>
      <c r="T17" t="s">
        <v>561</v>
      </c>
      <c r="U17">
        <v>185517</v>
      </c>
      <c r="Y17">
        <v>1</v>
      </c>
      <c r="Z17">
        <v>185533</v>
      </c>
      <c r="AA17" t="s">
        <v>385</v>
      </c>
      <c r="AB17" t="s">
        <v>492</v>
      </c>
      <c r="AC17">
        <v>185533</v>
      </c>
      <c r="AD17" t="s">
        <v>386</v>
      </c>
      <c r="AF17">
        <v>14</v>
      </c>
      <c r="AH17">
        <v>1</v>
      </c>
      <c r="AI17">
        <v>14</v>
      </c>
      <c r="AJ17" t="s">
        <v>589</v>
      </c>
      <c r="AK17" t="s">
        <v>590</v>
      </c>
      <c r="AL17" s="62">
        <v>183095</v>
      </c>
      <c r="AP17">
        <v>0</v>
      </c>
      <c r="AQ17">
        <v>14</v>
      </c>
      <c r="AR17" t="s">
        <v>624</v>
      </c>
      <c r="AS17" t="s">
        <v>625</v>
      </c>
      <c r="AT17" s="62">
        <v>185914</v>
      </c>
      <c r="AU17" t="s">
        <v>626</v>
      </c>
    </row>
    <row r="18" spans="1:47" ht="15.75" x14ac:dyDescent="0.25">
      <c r="A18">
        <v>1</v>
      </c>
      <c r="C18" t="s">
        <v>82</v>
      </c>
      <c r="D18" t="s">
        <v>142</v>
      </c>
      <c r="E18">
        <v>184678</v>
      </c>
      <c r="F18" t="s">
        <v>196</v>
      </c>
      <c r="I18">
        <v>1</v>
      </c>
      <c r="K18" t="s">
        <v>305</v>
      </c>
      <c r="L18" t="s">
        <v>253</v>
      </c>
      <c r="M18">
        <v>185544</v>
      </c>
      <c r="N18" t="s">
        <v>306</v>
      </c>
      <c r="Q18">
        <v>0</v>
      </c>
      <c r="S18" t="s">
        <v>339</v>
      </c>
      <c r="T18" t="s">
        <v>553</v>
      </c>
      <c r="U18">
        <v>185536</v>
      </c>
      <c r="Y18">
        <v>1</v>
      </c>
      <c r="Z18" t="s">
        <v>4</v>
      </c>
      <c r="AA18" t="s">
        <v>493</v>
      </c>
      <c r="AB18" t="s">
        <v>3</v>
      </c>
      <c r="AC18">
        <v>182503</v>
      </c>
      <c r="AD18" t="s">
        <v>387</v>
      </c>
      <c r="AF18">
        <v>15</v>
      </c>
      <c r="AH18">
        <v>1</v>
      </c>
      <c r="AI18">
        <v>15</v>
      </c>
      <c r="AJ18" t="s">
        <v>591</v>
      </c>
      <c r="AK18" t="s">
        <v>166</v>
      </c>
      <c r="AL18" s="62">
        <v>185928</v>
      </c>
      <c r="AP18">
        <v>0</v>
      </c>
      <c r="AQ18">
        <v>15</v>
      </c>
      <c r="AR18" t="s">
        <v>627</v>
      </c>
      <c r="AS18" t="s">
        <v>628</v>
      </c>
      <c r="AT18" s="61">
        <v>181415</v>
      </c>
      <c r="AU18" t="s">
        <v>629</v>
      </c>
    </row>
    <row r="19" spans="1:47" ht="15.75" x14ac:dyDescent="0.25">
      <c r="A19">
        <v>1</v>
      </c>
      <c r="C19" t="s">
        <v>84</v>
      </c>
      <c r="D19" t="s">
        <v>143</v>
      </c>
      <c r="E19">
        <v>184679</v>
      </c>
      <c r="F19" t="s">
        <v>198</v>
      </c>
      <c r="I19">
        <v>1</v>
      </c>
      <c r="K19" t="s">
        <v>307</v>
      </c>
      <c r="L19" t="s">
        <v>543</v>
      </c>
      <c r="M19">
        <v>185539</v>
      </c>
      <c r="N19" t="s">
        <v>308</v>
      </c>
      <c r="Q19">
        <v>0</v>
      </c>
      <c r="S19" t="s">
        <v>340</v>
      </c>
      <c r="T19" t="s">
        <v>554</v>
      </c>
      <c r="U19">
        <v>185537</v>
      </c>
      <c r="Y19">
        <v>1</v>
      </c>
      <c r="Z19" t="s">
        <v>4</v>
      </c>
      <c r="AA19" t="s">
        <v>388</v>
      </c>
      <c r="AB19" t="s">
        <v>494</v>
      </c>
      <c r="AC19">
        <v>185433</v>
      </c>
      <c r="AD19" t="s">
        <v>389</v>
      </c>
      <c r="AF19">
        <v>16</v>
      </c>
      <c r="AH19">
        <v>0</v>
      </c>
      <c r="AI19">
        <v>16</v>
      </c>
      <c r="AJ19" t="s">
        <v>592</v>
      </c>
      <c r="AK19" t="s">
        <v>163</v>
      </c>
      <c r="AL19" s="62">
        <v>185917</v>
      </c>
      <c r="AP19">
        <v>1</v>
      </c>
      <c r="AQ19">
        <v>16</v>
      </c>
      <c r="AR19" t="s">
        <v>423</v>
      </c>
      <c r="AS19" t="s">
        <v>55</v>
      </c>
      <c r="AT19" s="62">
        <v>185915</v>
      </c>
      <c r="AU19" t="s">
        <v>630</v>
      </c>
    </row>
    <row r="20" spans="1:47" ht="15.75" x14ac:dyDescent="0.25">
      <c r="A20">
        <v>1</v>
      </c>
      <c r="C20" t="s">
        <v>85</v>
      </c>
      <c r="D20" t="s">
        <v>144</v>
      </c>
      <c r="E20">
        <v>184680</v>
      </c>
      <c r="F20" t="s">
        <v>199</v>
      </c>
      <c r="I20">
        <v>1</v>
      </c>
      <c r="K20" t="s">
        <v>315</v>
      </c>
      <c r="L20" t="s">
        <v>34</v>
      </c>
      <c r="M20">
        <v>185469</v>
      </c>
      <c r="N20" t="s">
        <v>316</v>
      </c>
      <c r="Q20">
        <v>0</v>
      </c>
      <c r="S20" t="s">
        <v>342</v>
      </c>
      <c r="T20" t="s">
        <v>14</v>
      </c>
      <c r="U20">
        <v>185526</v>
      </c>
      <c r="Y20">
        <v>1</v>
      </c>
      <c r="Z20">
        <v>185432</v>
      </c>
      <c r="AA20" t="s">
        <v>390</v>
      </c>
      <c r="AB20" t="s">
        <v>492</v>
      </c>
      <c r="AC20">
        <v>185432</v>
      </c>
      <c r="AD20" t="s">
        <v>391</v>
      </c>
      <c r="AF20">
        <v>17</v>
      </c>
      <c r="AP20">
        <v>1</v>
      </c>
      <c r="AQ20">
        <v>17</v>
      </c>
      <c r="AR20" t="s">
        <v>631</v>
      </c>
      <c r="AS20" t="s">
        <v>632</v>
      </c>
      <c r="AT20" s="62">
        <v>185926</v>
      </c>
      <c r="AU20" t="s">
        <v>633</v>
      </c>
    </row>
    <row r="21" spans="1:47" x14ac:dyDescent="0.25">
      <c r="A21">
        <v>1</v>
      </c>
      <c r="B21" t="s">
        <v>4</v>
      </c>
      <c r="C21" t="s">
        <v>86</v>
      </c>
      <c r="D21" t="s">
        <v>146</v>
      </c>
      <c r="E21">
        <v>184731</v>
      </c>
      <c r="F21" t="s">
        <v>201</v>
      </c>
      <c r="G21" t="s">
        <v>260</v>
      </c>
      <c r="I21">
        <v>1</v>
      </c>
      <c r="K21" t="s">
        <v>317</v>
      </c>
      <c r="L21" t="s">
        <v>32</v>
      </c>
      <c r="M21">
        <v>185473</v>
      </c>
      <c r="N21" t="s">
        <v>318</v>
      </c>
      <c r="Q21">
        <v>0</v>
      </c>
      <c r="S21" t="s">
        <v>345</v>
      </c>
      <c r="T21" t="s">
        <v>557</v>
      </c>
      <c r="U21">
        <v>185464</v>
      </c>
      <c r="Y21">
        <v>1</v>
      </c>
      <c r="Z21">
        <v>185434</v>
      </c>
      <c r="AA21" t="s">
        <v>392</v>
      </c>
      <c r="AB21" t="s">
        <v>495</v>
      </c>
      <c r="AC21">
        <v>185434</v>
      </c>
      <c r="AD21" t="s">
        <v>393</v>
      </c>
      <c r="AF21">
        <v>18</v>
      </c>
      <c r="AP21">
        <v>0</v>
      </c>
      <c r="AQ21">
        <v>18</v>
      </c>
      <c r="AR21" t="s">
        <v>634</v>
      </c>
      <c r="AS21" t="s">
        <v>635</v>
      </c>
      <c r="AT21" s="61">
        <v>184324</v>
      </c>
      <c r="AU21" t="s">
        <v>636</v>
      </c>
    </row>
    <row r="22" spans="1:47" ht="15.75" x14ac:dyDescent="0.25">
      <c r="A22">
        <v>1</v>
      </c>
      <c r="C22" t="s">
        <v>86</v>
      </c>
      <c r="D22" t="s">
        <v>145</v>
      </c>
      <c r="E22">
        <v>184741</v>
      </c>
      <c r="F22" t="s">
        <v>200</v>
      </c>
      <c r="I22">
        <v>1</v>
      </c>
      <c r="K22" t="s">
        <v>319</v>
      </c>
      <c r="L22" t="s">
        <v>546</v>
      </c>
      <c r="M22">
        <v>183416</v>
      </c>
      <c r="N22" t="s">
        <v>320</v>
      </c>
      <c r="Q22">
        <v>0</v>
      </c>
      <c r="S22" t="s">
        <v>346</v>
      </c>
      <c r="T22" t="s">
        <v>137</v>
      </c>
      <c r="U22">
        <v>185471</v>
      </c>
      <c r="Y22">
        <v>1</v>
      </c>
      <c r="Z22" t="s">
        <v>4</v>
      </c>
      <c r="AA22" t="s">
        <v>394</v>
      </c>
      <c r="AB22" t="s">
        <v>492</v>
      </c>
      <c r="AC22">
        <v>185435</v>
      </c>
      <c r="AD22" t="s">
        <v>395</v>
      </c>
      <c r="AF22">
        <v>19</v>
      </c>
      <c r="AP22">
        <v>1</v>
      </c>
      <c r="AQ22">
        <v>19</v>
      </c>
      <c r="AR22" t="s">
        <v>637</v>
      </c>
      <c r="AS22" t="s">
        <v>638</v>
      </c>
      <c r="AT22" s="62">
        <v>185918</v>
      </c>
      <c r="AU22" t="s">
        <v>639</v>
      </c>
    </row>
    <row r="23" spans="1:47" ht="15.75" x14ac:dyDescent="0.25">
      <c r="A23">
        <v>1</v>
      </c>
      <c r="C23" t="s">
        <v>87</v>
      </c>
      <c r="D23" t="s">
        <v>147</v>
      </c>
      <c r="E23">
        <v>184681</v>
      </c>
      <c r="F23" t="s">
        <v>202</v>
      </c>
      <c r="I23">
        <v>1</v>
      </c>
      <c r="K23" t="s">
        <v>13</v>
      </c>
      <c r="L23" t="s">
        <v>547</v>
      </c>
      <c r="M23">
        <v>185500</v>
      </c>
      <c r="N23" t="s">
        <v>321</v>
      </c>
      <c r="Q23">
        <v>0</v>
      </c>
      <c r="S23" t="s">
        <v>349</v>
      </c>
      <c r="T23" t="s">
        <v>563</v>
      </c>
      <c r="U23">
        <v>185478</v>
      </c>
      <c r="Y23">
        <v>1</v>
      </c>
      <c r="Z23">
        <v>185440</v>
      </c>
      <c r="AA23" t="s">
        <v>401</v>
      </c>
      <c r="AB23" t="s">
        <v>26</v>
      </c>
      <c r="AC23">
        <v>185440</v>
      </c>
      <c r="AD23" t="s">
        <v>402</v>
      </c>
      <c r="AF23">
        <v>20</v>
      </c>
      <c r="AP23">
        <v>1</v>
      </c>
      <c r="AQ23">
        <v>20</v>
      </c>
      <c r="AR23" t="s">
        <v>640</v>
      </c>
      <c r="AS23" t="s">
        <v>511</v>
      </c>
      <c r="AT23" s="62">
        <v>185919</v>
      </c>
      <c r="AU23" t="s">
        <v>641</v>
      </c>
    </row>
    <row r="24" spans="1:47" ht="15.75" x14ac:dyDescent="0.25">
      <c r="A24">
        <v>1</v>
      </c>
      <c r="B24" t="s">
        <v>4</v>
      </c>
      <c r="C24" t="s">
        <v>88</v>
      </c>
      <c r="D24" t="s">
        <v>140</v>
      </c>
      <c r="E24">
        <v>184682</v>
      </c>
      <c r="F24" t="s">
        <v>203</v>
      </c>
      <c r="G24" t="s">
        <v>260</v>
      </c>
      <c r="I24">
        <v>1</v>
      </c>
      <c r="K24" t="s">
        <v>322</v>
      </c>
      <c r="L24" t="s">
        <v>54</v>
      </c>
      <c r="M24">
        <v>185506</v>
      </c>
      <c r="N24" t="s">
        <v>323</v>
      </c>
      <c r="Q24">
        <v>0</v>
      </c>
      <c r="S24" t="s">
        <v>352</v>
      </c>
      <c r="T24" t="s">
        <v>34</v>
      </c>
      <c r="U24">
        <v>185498</v>
      </c>
      <c r="Y24">
        <v>1</v>
      </c>
      <c r="Z24" t="s">
        <v>4</v>
      </c>
      <c r="AA24" t="s">
        <v>405</v>
      </c>
      <c r="AB24" t="s">
        <v>499</v>
      </c>
      <c r="AC24">
        <v>185535</v>
      </c>
      <c r="AD24" t="s">
        <v>406</v>
      </c>
      <c r="AF24">
        <v>21</v>
      </c>
      <c r="AP24">
        <v>1</v>
      </c>
      <c r="AQ24">
        <v>21</v>
      </c>
      <c r="AR24" t="s">
        <v>642</v>
      </c>
      <c r="AS24" t="s">
        <v>643</v>
      </c>
      <c r="AT24" s="62">
        <v>185922</v>
      </c>
      <c r="AU24" t="s">
        <v>644</v>
      </c>
    </row>
    <row r="25" spans="1:47" ht="15.75" x14ac:dyDescent="0.25">
      <c r="A25">
        <v>1</v>
      </c>
      <c r="C25" t="s">
        <v>42</v>
      </c>
      <c r="D25" t="s">
        <v>152</v>
      </c>
      <c r="E25">
        <v>184732</v>
      </c>
      <c r="F25" t="s">
        <v>209</v>
      </c>
      <c r="I25">
        <v>1</v>
      </c>
      <c r="K25" t="s">
        <v>40</v>
      </c>
      <c r="L25" t="s">
        <v>6</v>
      </c>
      <c r="M25">
        <v>177098</v>
      </c>
      <c r="N25" t="s">
        <v>324</v>
      </c>
      <c r="O25" t="s">
        <v>566</v>
      </c>
      <c r="Q25">
        <v>0</v>
      </c>
      <c r="S25" t="s">
        <v>353</v>
      </c>
      <c r="T25" t="s">
        <v>544</v>
      </c>
      <c r="U25">
        <v>185503</v>
      </c>
      <c r="Y25">
        <v>1</v>
      </c>
      <c r="Z25">
        <v>185445</v>
      </c>
      <c r="AA25" t="s">
        <v>18</v>
      </c>
      <c r="AB25" t="s">
        <v>9</v>
      </c>
      <c r="AC25">
        <v>185445</v>
      </c>
      <c r="AD25" t="s">
        <v>407</v>
      </c>
      <c r="AF25">
        <v>22</v>
      </c>
      <c r="AP25">
        <v>1</v>
      </c>
      <c r="AQ25">
        <v>22</v>
      </c>
      <c r="AR25" t="s">
        <v>354</v>
      </c>
      <c r="AS25" t="s">
        <v>54</v>
      </c>
      <c r="AT25" s="62">
        <v>185889</v>
      </c>
      <c r="AU25" t="s">
        <v>645</v>
      </c>
    </row>
    <row r="26" spans="1:47" ht="15.75" x14ac:dyDescent="0.25">
      <c r="A26">
        <v>1</v>
      </c>
      <c r="B26" t="s">
        <v>4</v>
      </c>
      <c r="C26" t="s">
        <v>42</v>
      </c>
      <c r="D26" t="s">
        <v>151</v>
      </c>
      <c r="E26">
        <v>184685</v>
      </c>
      <c r="F26" t="s">
        <v>208</v>
      </c>
      <c r="G26" t="s">
        <v>260</v>
      </c>
      <c r="I26">
        <v>1</v>
      </c>
      <c r="K26" t="s">
        <v>327</v>
      </c>
      <c r="L26" t="s">
        <v>549</v>
      </c>
      <c r="M26">
        <v>185519</v>
      </c>
      <c r="N26" t="s">
        <v>328</v>
      </c>
      <c r="Q26">
        <v>0</v>
      </c>
      <c r="S26" t="s">
        <v>355</v>
      </c>
      <c r="T26" t="s">
        <v>47</v>
      </c>
      <c r="U26">
        <v>185515</v>
      </c>
      <c r="Y26">
        <v>1</v>
      </c>
      <c r="Z26">
        <v>185448</v>
      </c>
      <c r="AA26" t="s">
        <v>409</v>
      </c>
      <c r="AB26" t="s">
        <v>47</v>
      </c>
      <c r="AC26">
        <v>185448</v>
      </c>
      <c r="AD26" t="s">
        <v>410</v>
      </c>
      <c r="AF26">
        <v>24</v>
      </c>
      <c r="AP26">
        <v>1</v>
      </c>
      <c r="AQ26">
        <v>23</v>
      </c>
      <c r="AR26" t="s">
        <v>646</v>
      </c>
      <c r="AS26" t="s">
        <v>625</v>
      </c>
      <c r="AT26" s="62">
        <v>185924</v>
      </c>
      <c r="AU26" t="s">
        <v>647</v>
      </c>
    </row>
    <row r="27" spans="1:47" ht="15.75" x14ac:dyDescent="0.25">
      <c r="A27">
        <v>1</v>
      </c>
      <c r="C27" t="s">
        <v>93</v>
      </c>
      <c r="D27" t="s">
        <v>153</v>
      </c>
      <c r="E27">
        <v>184686</v>
      </c>
      <c r="F27" t="s">
        <v>210</v>
      </c>
      <c r="I27">
        <v>1</v>
      </c>
      <c r="K27" t="s">
        <v>331</v>
      </c>
      <c r="L27" t="s">
        <v>550</v>
      </c>
      <c r="M27">
        <v>185523</v>
      </c>
      <c r="N27" t="s">
        <v>332</v>
      </c>
      <c r="Q27">
        <v>0</v>
      </c>
      <c r="S27" t="s">
        <v>357</v>
      </c>
      <c r="T27" t="s">
        <v>562</v>
      </c>
      <c r="U27">
        <v>185518</v>
      </c>
      <c r="Y27">
        <v>1</v>
      </c>
      <c r="Z27">
        <v>185450</v>
      </c>
      <c r="AA27" t="s">
        <v>44</v>
      </c>
      <c r="AB27" t="s">
        <v>502</v>
      </c>
      <c r="AC27">
        <v>185450</v>
      </c>
      <c r="AD27" t="s">
        <v>412</v>
      </c>
      <c r="AF27">
        <v>25</v>
      </c>
      <c r="AP27">
        <v>0</v>
      </c>
      <c r="AQ27">
        <v>24</v>
      </c>
      <c r="AR27" t="s">
        <v>466</v>
      </c>
      <c r="AS27" t="s">
        <v>648</v>
      </c>
      <c r="AT27" s="63">
        <v>185927</v>
      </c>
      <c r="AU27" t="s">
        <v>649</v>
      </c>
    </row>
    <row r="28" spans="1:47" ht="15.75" x14ac:dyDescent="0.25">
      <c r="A28">
        <v>1</v>
      </c>
      <c r="B28" t="s">
        <v>4</v>
      </c>
      <c r="C28" t="s">
        <v>94</v>
      </c>
      <c r="D28" t="s">
        <v>47</v>
      </c>
      <c r="E28">
        <v>183139</v>
      </c>
      <c r="F28" t="s">
        <v>211</v>
      </c>
      <c r="G28" t="s">
        <v>260</v>
      </c>
      <c r="I28">
        <v>0</v>
      </c>
      <c r="K28" t="s">
        <v>293</v>
      </c>
      <c r="L28" t="s">
        <v>537</v>
      </c>
      <c r="M28">
        <v>185431</v>
      </c>
      <c r="N28" t="s">
        <v>294</v>
      </c>
      <c r="Y28">
        <v>1</v>
      </c>
      <c r="Z28">
        <v>185451</v>
      </c>
      <c r="AA28" t="s">
        <v>413</v>
      </c>
      <c r="AB28" t="s">
        <v>503</v>
      </c>
      <c r="AC28">
        <v>185451</v>
      </c>
      <c r="AD28" t="s">
        <v>414</v>
      </c>
      <c r="AF28">
        <v>26</v>
      </c>
      <c r="AP28">
        <v>1</v>
      </c>
      <c r="AQ28">
        <v>25</v>
      </c>
      <c r="AR28" t="s">
        <v>650</v>
      </c>
      <c r="AS28" t="s">
        <v>39</v>
      </c>
      <c r="AT28" s="63">
        <v>185900</v>
      </c>
      <c r="AU28" t="s">
        <v>651</v>
      </c>
    </row>
    <row r="29" spans="1:47" ht="15.75" x14ac:dyDescent="0.25">
      <c r="A29">
        <v>1</v>
      </c>
      <c r="C29" t="s">
        <v>95</v>
      </c>
      <c r="D29" t="s">
        <v>154</v>
      </c>
      <c r="E29">
        <v>184690</v>
      </c>
      <c r="F29" t="s">
        <v>212</v>
      </c>
      <c r="I29">
        <v>0</v>
      </c>
      <c r="K29" t="s">
        <v>295</v>
      </c>
      <c r="L29" t="s">
        <v>538</v>
      </c>
      <c r="M29">
        <v>185531</v>
      </c>
      <c r="N29" t="s">
        <v>296</v>
      </c>
      <c r="Y29">
        <v>1</v>
      </c>
      <c r="Z29" t="s">
        <v>4</v>
      </c>
      <c r="AA29" t="s">
        <v>415</v>
      </c>
      <c r="AB29" t="s">
        <v>504</v>
      </c>
      <c r="AC29">
        <v>181046</v>
      </c>
      <c r="AD29" t="s">
        <v>416</v>
      </c>
      <c r="AF29">
        <v>27</v>
      </c>
      <c r="AP29">
        <v>1</v>
      </c>
      <c r="AQ29">
        <v>26</v>
      </c>
      <c r="AR29" t="s">
        <v>652</v>
      </c>
      <c r="AS29" t="s">
        <v>653</v>
      </c>
      <c r="AT29" s="63">
        <v>185929</v>
      </c>
      <c r="AU29" t="s">
        <v>654</v>
      </c>
    </row>
    <row r="30" spans="1:47" ht="15.75" x14ac:dyDescent="0.25">
      <c r="A30">
        <v>1</v>
      </c>
      <c r="C30" t="s">
        <v>21</v>
      </c>
      <c r="D30" t="s">
        <v>157</v>
      </c>
      <c r="E30">
        <v>176883</v>
      </c>
      <c r="F30" t="s">
        <v>215</v>
      </c>
      <c r="I30">
        <v>0</v>
      </c>
      <c r="K30" t="s">
        <v>303</v>
      </c>
      <c r="L30" t="s">
        <v>542</v>
      </c>
      <c r="M30">
        <v>185447</v>
      </c>
      <c r="N30" t="s">
        <v>304</v>
      </c>
      <c r="Y30">
        <v>1</v>
      </c>
      <c r="Z30">
        <v>185424</v>
      </c>
      <c r="AA30" t="s">
        <v>417</v>
      </c>
      <c r="AB30" t="s">
        <v>505</v>
      </c>
      <c r="AC30">
        <v>185424</v>
      </c>
      <c r="AD30" t="s">
        <v>418</v>
      </c>
      <c r="AF30">
        <v>28</v>
      </c>
      <c r="AP30">
        <v>1</v>
      </c>
      <c r="AQ30">
        <v>27</v>
      </c>
      <c r="AR30" t="s">
        <v>655</v>
      </c>
      <c r="AS30" t="s">
        <v>656</v>
      </c>
      <c r="AT30" s="63">
        <v>185902</v>
      </c>
      <c r="AU30" t="s">
        <v>657</v>
      </c>
    </row>
    <row r="31" spans="1:47" x14ac:dyDescent="0.25">
      <c r="A31">
        <v>1</v>
      </c>
      <c r="B31" t="s">
        <v>4</v>
      </c>
      <c r="C31" t="s">
        <v>99</v>
      </c>
      <c r="D31" t="s">
        <v>25</v>
      </c>
      <c r="E31">
        <v>184695</v>
      </c>
      <c r="F31" t="s">
        <v>218</v>
      </c>
      <c r="G31" t="s">
        <v>260</v>
      </c>
      <c r="I31">
        <v>0</v>
      </c>
      <c r="K31" t="s">
        <v>309</v>
      </c>
      <c r="L31" t="s">
        <v>544</v>
      </c>
      <c r="M31">
        <v>185453</v>
      </c>
      <c r="N31" t="s">
        <v>310</v>
      </c>
      <c r="Y31">
        <v>1</v>
      </c>
      <c r="Z31" t="s">
        <v>4</v>
      </c>
      <c r="AA31" t="s">
        <v>421</v>
      </c>
      <c r="AB31" t="s">
        <v>507</v>
      </c>
      <c r="AC31">
        <v>183432</v>
      </c>
      <c r="AD31" t="s">
        <v>422</v>
      </c>
      <c r="AF31">
        <v>29</v>
      </c>
    </row>
    <row r="32" spans="1:47" x14ac:dyDescent="0.25">
      <c r="A32">
        <v>1</v>
      </c>
      <c r="C32" t="s">
        <v>101</v>
      </c>
      <c r="D32" t="s">
        <v>160</v>
      </c>
      <c r="E32">
        <v>184697</v>
      </c>
      <c r="F32" t="s">
        <v>220</v>
      </c>
      <c r="I32">
        <v>0</v>
      </c>
      <c r="K32" t="s">
        <v>311</v>
      </c>
      <c r="L32" t="s">
        <v>545</v>
      </c>
      <c r="M32">
        <v>185454</v>
      </c>
      <c r="N32" t="s">
        <v>312</v>
      </c>
      <c r="Y32">
        <v>1</v>
      </c>
      <c r="Z32" t="s">
        <v>4</v>
      </c>
      <c r="AA32" t="s">
        <v>423</v>
      </c>
      <c r="AB32" t="s">
        <v>29</v>
      </c>
      <c r="AC32">
        <v>185465</v>
      </c>
      <c r="AD32" t="s">
        <v>424</v>
      </c>
      <c r="AF32">
        <v>30</v>
      </c>
    </row>
    <row r="33" spans="1:32" x14ac:dyDescent="0.25">
      <c r="A33">
        <v>1</v>
      </c>
      <c r="C33" t="s">
        <v>103</v>
      </c>
      <c r="D33" t="s">
        <v>162</v>
      </c>
      <c r="E33">
        <v>175403</v>
      </c>
      <c r="F33" t="s">
        <v>222</v>
      </c>
      <c r="I33">
        <v>0</v>
      </c>
      <c r="K33" t="s">
        <v>313</v>
      </c>
      <c r="L33" t="s">
        <v>43</v>
      </c>
      <c r="M33">
        <v>185538</v>
      </c>
      <c r="N33" t="s">
        <v>314</v>
      </c>
      <c r="Y33">
        <v>1</v>
      </c>
      <c r="Z33">
        <v>185467</v>
      </c>
      <c r="AA33" t="s">
        <v>423</v>
      </c>
      <c r="AB33" t="s">
        <v>10</v>
      </c>
      <c r="AC33">
        <v>185467</v>
      </c>
      <c r="AD33" t="s">
        <v>426</v>
      </c>
      <c r="AF33">
        <v>31</v>
      </c>
    </row>
    <row r="34" spans="1:32" x14ac:dyDescent="0.25">
      <c r="A34">
        <v>1</v>
      </c>
      <c r="C34" t="s">
        <v>104</v>
      </c>
      <c r="D34" t="s">
        <v>163</v>
      </c>
      <c r="E34">
        <v>184699</v>
      </c>
      <c r="F34" t="s">
        <v>223</v>
      </c>
      <c r="I34">
        <v>0</v>
      </c>
      <c r="K34" t="s">
        <v>325</v>
      </c>
      <c r="L34" t="s">
        <v>548</v>
      </c>
      <c r="M34">
        <v>185513</v>
      </c>
      <c r="N34" t="s">
        <v>326</v>
      </c>
      <c r="Y34">
        <v>1</v>
      </c>
      <c r="Z34">
        <v>185466</v>
      </c>
      <c r="AA34" t="s">
        <v>423</v>
      </c>
      <c r="AB34" t="s">
        <v>45</v>
      </c>
      <c r="AC34">
        <v>185466</v>
      </c>
      <c r="AD34" t="s">
        <v>425</v>
      </c>
      <c r="AF34">
        <v>32</v>
      </c>
    </row>
    <row r="35" spans="1:32" x14ac:dyDescent="0.25">
      <c r="A35">
        <v>1</v>
      </c>
      <c r="C35" t="s">
        <v>105</v>
      </c>
      <c r="D35" t="s">
        <v>47</v>
      </c>
      <c r="E35">
        <v>184700</v>
      </c>
      <c r="F35" t="s">
        <v>224</v>
      </c>
      <c r="I35">
        <v>0</v>
      </c>
      <c r="K35" t="s">
        <v>329</v>
      </c>
      <c r="L35" t="s">
        <v>270</v>
      </c>
      <c r="M35">
        <v>185520</v>
      </c>
      <c r="N35" t="s">
        <v>330</v>
      </c>
      <c r="Y35">
        <v>1</v>
      </c>
      <c r="Z35">
        <v>185470</v>
      </c>
      <c r="AA35" t="s">
        <v>428</v>
      </c>
      <c r="AB35" t="s">
        <v>22</v>
      </c>
      <c r="AC35">
        <v>185470</v>
      </c>
      <c r="AD35" t="s">
        <v>429</v>
      </c>
      <c r="AF35">
        <v>33</v>
      </c>
    </row>
    <row r="36" spans="1:32" x14ac:dyDescent="0.25">
      <c r="A36">
        <v>1</v>
      </c>
      <c r="C36" t="s">
        <v>106</v>
      </c>
      <c r="D36" t="s">
        <v>164</v>
      </c>
      <c r="E36">
        <v>184701</v>
      </c>
      <c r="F36" t="s">
        <v>225</v>
      </c>
      <c r="Y36">
        <v>1</v>
      </c>
      <c r="Z36">
        <v>185472</v>
      </c>
      <c r="AA36" t="s">
        <v>430</v>
      </c>
      <c r="AB36" t="s">
        <v>140</v>
      </c>
      <c r="AC36">
        <v>185472</v>
      </c>
      <c r="AD36" t="s">
        <v>431</v>
      </c>
      <c r="AF36">
        <v>34</v>
      </c>
    </row>
    <row r="37" spans="1:32" x14ac:dyDescent="0.25">
      <c r="A37">
        <v>1</v>
      </c>
      <c r="C37" t="s">
        <v>107</v>
      </c>
      <c r="D37" t="s">
        <v>22</v>
      </c>
      <c r="E37">
        <v>184702</v>
      </c>
      <c r="F37" t="s">
        <v>226</v>
      </c>
      <c r="Y37">
        <v>1</v>
      </c>
      <c r="Z37">
        <v>185534</v>
      </c>
      <c r="AA37" t="s">
        <v>432</v>
      </c>
      <c r="AB37" t="s">
        <v>508</v>
      </c>
      <c r="AC37">
        <v>185534</v>
      </c>
      <c r="AD37" t="s">
        <v>433</v>
      </c>
      <c r="AF37">
        <v>35</v>
      </c>
    </row>
    <row r="38" spans="1:32" x14ac:dyDescent="0.25">
      <c r="A38">
        <v>1</v>
      </c>
      <c r="C38" t="s">
        <v>108</v>
      </c>
      <c r="D38" t="s">
        <v>165</v>
      </c>
      <c r="E38">
        <v>184703</v>
      </c>
      <c r="F38" t="s">
        <v>227</v>
      </c>
      <c r="Y38">
        <v>1</v>
      </c>
      <c r="Z38" t="s">
        <v>4</v>
      </c>
      <c r="AA38" t="s">
        <v>434</v>
      </c>
      <c r="AB38" t="s">
        <v>137</v>
      </c>
      <c r="AC38">
        <v>185475</v>
      </c>
      <c r="AD38" t="s">
        <v>435</v>
      </c>
      <c r="AF38">
        <v>36</v>
      </c>
    </row>
    <row r="39" spans="1:32" x14ac:dyDescent="0.25">
      <c r="A39">
        <v>1</v>
      </c>
      <c r="C39" t="s">
        <v>31</v>
      </c>
      <c r="D39" t="s">
        <v>166</v>
      </c>
      <c r="E39">
        <v>184704</v>
      </c>
      <c r="F39" t="s">
        <v>228</v>
      </c>
      <c r="I39">
        <v>0</v>
      </c>
      <c r="K39" t="s">
        <v>264</v>
      </c>
      <c r="L39" t="s">
        <v>24</v>
      </c>
      <c r="M39">
        <v>184767</v>
      </c>
      <c r="N39" t="s">
        <v>268</v>
      </c>
      <c r="Y39">
        <v>1</v>
      </c>
      <c r="Z39" t="s">
        <v>4</v>
      </c>
      <c r="AA39" t="s">
        <v>436</v>
      </c>
      <c r="AB39" t="s">
        <v>509</v>
      </c>
      <c r="AC39">
        <v>185476</v>
      </c>
      <c r="AD39" t="s">
        <v>437</v>
      </c>
      <c r="AF39">
        <v>37</v>
      </c>
    </row>
    <row r="40" spans="1:32" x14ac:dyDescent="0.25">
      <c r="A40">
        <v>1</v>
      </c>
      <c r="C40" t="s">
        <v>109</v>
      </c>
      <c r="D40" t="s">
        <v>167</v>
      </c>
      <c r="E40">
        <v>184705</v>
      </c>
      <c r="F40" t="s">
        <v>229</v>
      </c>
      <c r="I40" s="44">
        <v>1</v>
      </c>
      <c r="J40" s="42"/>
      <c r="K40" s="42" t="s">
        <v>265</v>
      </c>
      <c r="L40" s="42" t="s">
        <v>266</v>
      </c>
      <c r="M40" s="42">
        <v>184772</v>
      </c>
      <c r="N40" s="42" t="s">
        <v>269</v>
      </c>
      <c r="O40" s="43"/>
      <c r="Y40">
        <v>1</v>
      </c>
      <c r="Z40">
        <v>185480</v>
      </c>
      <c r="AA40" t="s">
        <v>440</v>
      </c>
      <c r="AB40" t="s">
        <v>511</v>
      </c>
      <c r="AC40">
        <v>185480</v>
      </c>
      <c r="AD40" t="s">
        <v>441</v>
      </c>
      <c r="AF40">
        <v>38</v>
      </c>
    </row>
    <row r="41" spans="1:32" x14ac:dyDescent="0.25">
      <c r="A41">
        <v>1</v>
      </c>
      <c r="C41" t="s">
        <v>110</v>
      </c>
      <c r="D41" t="s">
        <v>20</v>
      </c>
      <c r="E41">
        <v>184706</v>
      </c>
      <c r="F41" t="s">
        <v>230</v>
      </c>
      <c r="I41" s="44">
        <v>1</v>
      </c>
      <c r="J41" s="42"/>
      <c r="K41" s="42" t="s">
        <v>100</v>
      </c>
      <c r="L41" s="42" t="s">
        <v>8</v>
      </c>
      <c r="M41" s="42">
        <v>184696</v>
      </c>
      <c r="N41" s="42" t="s">
        <v>219</v>
      </c>
      <c r="O41" s="42"/>
      <c r="Y41">
        <v>1</v>
      </c>
      <c r="Z41">
        <v>185481</v>
      </c>
      <c r="AA41" t="s">
        <v>442</v>
      </c>
      <c r="AB41" t="s">
        <v>512</v>
      </c>
      <c r="AC41">
        <v>185481</v>
      </c>
      <c r="AD41" t="s">
        <v>443</v>
      </c>
      <c r="AF41">
        <v>39</v>
      </c>
    </row>
    <row r="42" spans="1:32" x14ac:dyDescent="0.25">
      <c r="A42">
        <v>1</v>
      </c>
      <c r="C42" t="s">
        <v>112</v>
      </c>
      <c r="D42" t="s">
        <v>5</v>
      </c>
      <c r="E42">
        <v>184708</v>
      </c>
      <c r="F42" t="s">
        <v>232</v>
      </c>
      <c r="Y42">
        <v>1</v>
      </c>
      <c r="Z42" t="s">
        <v>4</v>
      </c>
      <c r="AA42" t="s">
        <v>444</v>
      </c>
      <c r="AB42" t="s">
        <v>513</v>
      </c>
      <c r="AC42">
        <v>185483</v>
      </c>
      <c r="AD42" t="s">
        <v>445</v>
      </c>
      <c r="AF42">
        <v>41</v>
      </c>
    </row>
    <row r="43" spans="1:32" x14ac:dyDescent="0.25">
      <c r="A43">
        <v>1</v>
      </c>
      <c r="B43" t="s">
        <v>4</v>
      </c>
      <c r="C43" t="s">
        <v>114</v>
      </c>
      <c r="D43" t="s">
        <v>169</v>
      </c>
      <c r="E43">
        <v>184710</v>
      </c>
      <c r="F43" t="s">
        <v>234</v>
      </c>
      <c r="G43" t="s">
        <v>260</v>
      </c>
      <c r="Y43">
        <v>1</v>
      </c>
      <c r="Z43" t="s">
        <v>4</v>
      </c>
      <c r="AA43" t="s">
        <v>446</v>
      </c>
      <c r="AB43" t="s">
        <v>52</v>
      </c>
      <c r="AC43">
        <v>185494</v>
      </c>
      <c r="AD43" t="s">
        <v>447</v>
      </c>
      <c r="AF43">
        <v>42</v>
      </c>
    </row>
    <row r="44" spans="1:32" x14ac:dyDescent="0.25">
      <c r="A44">
        <v>1</v>
      </c>
      <c r="C44" t="s">
        <v>35</v>
      </c>
      <c r="D44" t="s">
        <v>34</v>
      </c>
      <c r="E44">
        <v>184712</v>
      </c>
      <c r="F44" t="s">
        <v>236</v>
      </c>
      <c r="Y44">
        <v>1</v>
      </c>
      <c r="Z44">
        <v>185497</v>
      </c>
      <c r="AA44" t="s">
        <v>450</v>
      </c>
      <c r="AB44" t="s">
        <v>515</v>
      </c>
      <c r="AC44">
        <v>185497</v>
      </c>
      <c r="AD44" t="s">
        <v>451</v>
      </c>
      <c r="AF44">
        <v>43</v>
      </c>
    </row>
    <row r="45" spans="1:32" x14ac:dyDescent="0.25">
      <c r="A45">
        <v>1</v>
      </c>
      <c r="C45" t="s">
        <v>116</v>
      </c>
      <c r="D45" t="s">
        <v>50</v>
      </c>
      <c r="E45">
        <v>184713</v>
      </c>
      <c r="F45" t="s">
        <v>237</v>
      </c>
      <c r="Y45">
        <v>1</v>
      </c>
      <c r="Z45">
        <v>185499</v>
      </c>
      <c r="AA45" t="s">
        <v>452</v>
      </c>
      <c r="AB45" t="s">
        <v>516</v>
      </c>
      <c r="AC45">
        <v>185499</v>
      </c>
      <c r="AD45" t="s">
        <v>453</v>
      </c>
      <c r="AF45">
        <v>44</v>
      </c>
    </row>
    <row r="46" spans="1:32" x14ac:dyDescent="0.25">
      <c r="A46">
        <v>1</v>
      </c>
      <c r="C46" t="s">
        <v>117</v>
      </c>
      <c r="D46" t="s">
        <v>170</v>
      </c>
      <c r="E46">
        <v>184714</v>
      </c>
      <c r="F46" t="s">
        <v>238</v>
      </c>
      <c r="Y46">
        <v>1</v>
      </c>
      <c r="Z46">
        <v>180635</v>
      </c>
      <c r="AA46" t="s">
        <v>454</v>
      </c>
      <c r="AB46" t="s">
        <v>517</v>
      </c>
      <c r="AC46">
        <v>180635</v>
      </c>
      <c r="AD46" t="s">
        <v>455</v>
      </c>
      <c r="AF46">
        <v>45</v>
      </c>
    </row>
    <row r="47" spans="1:32" x14ac:dyDescent="0.25">
      <c r="A47">
        <v>1</v>
      </c>
      <c r="C47" t="s">
        <v>13</v>
      </c>
      <c r="D47" t="s">
        <v>14</v>
      </c>
      <c r="E47">
        <v>184716</v>
      </c>
      <c r="F47" t="s">
        <v>239</v>
      </c>
      <c r="Y47">
        <v>1</v>
      </c>
      <c r="Z47" t="s">
        <v>4</v>
      </c>
      <c r="AA47" t="s">
        <v>458</v>
      </c>
      <c r="AB47" t="s">
        <v>48</v>
      </c>
      <c r="AC47">
        <v>185504</v>
      </c>
      <c r="AD47" t="s">
        <v>459</v>
      </c>
      <c r="AF47">
        <v>46</v>
      </c>
    </row>
    <row r="48" spans="1:32" x14ac:dyDescent="0.25">
      <c r="A48">
        <v>1</v>
      </c>
      <c r="B48" t="s">
        <v>4</v>
      </c>
      <c r="C48" t="s">
        <v>119</v>
      </c>
      <c r="D48" t="s">
        <v>19</v>
      </c>
      <c r="E48">
        <v>184717</v>
      </c>
      <c r="F48" t="s">
        <v>241</v>
      </c>
      <c r="G48" t="s">
        <v>260</v>
      </c>
      <c r="Y48">
        <v>1</v>
      </c>
      <c r="Z48" t="s">
        <v>4</v>
      </c>
      <c r="AA48" t="s">
        <v>460</v>
      </c>
      <c r="AB48" t="s">
        <v>22</v>
      </c>
      <c r="AC48">
        <v>182563</v>
      </c>
      <c r="AD48" t="s">
        <v>461</v>
      </c>
      <c r="AF48">
        <v>47</v>
      </c>
    </row>
    <row r="49" spans="1:32" x14ac:dyDescent="0.25">
      <c r="A49">
        <v>1</v>
      </c>
      <c r="C49" t="s">
        <v>16</v>
      </c>
      <c r="D49" t="s">
        <v>41</v>
      </c>
      <c r="E49">
        <v>184719</v>
      </c>
      <c r="F49" t="s">
        <v>243</v>
      </c>
      <c r="Y49">
        <v>1</v>
      </c>
      <c r="Z49">
        <v>185509</v>
      </c>
      <c r="AA49" t="s">
        <v>468</v>
      </c>
      <c r="AB49" t="s">
        <v>522</v>
      </c>
      <c r="AC49">
        <v>185509</v>
      </c>
      <c r="AD49" t="s">
        <v>469</v>
      </c>
      <c r="AF49">
        <v>48</v>
      </c>
    </row>
    <row r="50" spans="1:32" x14ac:dyDescent="0.25">
      <c r="A50">
        <v>1</v>
      </c>
      <c r="C50" t="s">
        <v>121</v>
      </c>
      <c r="D50" t="s">
        <v>30</v>
      </c>
      <c r="E50">
        <v>184720</v>
      </c>
      <c r="F50" t="s">
        <v>244</v>
      </c>
      <c r="Y50">
        <v>1</v>
      </c>
      <c r="Z50" t="s">
        <v>4</v>
      </c>
      <c r="AA50" t="s">
        <v>472</v>
      </c>
      <c r="AB50" t="s">
        <v>53</v>
      </c>
      <c r="AC50">
        <v>185514</v>
      </c>
      <c r="AD50" t="s">
        <v>473</v>
      </c>
      <c r="AF50">
        <v>49</v>
      </c>
    </row>
    <row r="51" spans="1:32" x14ac:dyDescent="0.25">
      <c r="A51">
        <v>1</v>
      </c>
      <c r="C51" t="s">
        <v>123</v>
      </c>
      <c r="D51" t="s">
        <v>12</v>
      </c>
      <c r="E51">
        <v>184733</v>
      </c>
      <c r="F51" t="s">
        <v>246</v>
      </c>
      <c r="Y51">
        <v>1</v>
      </c>
      <c r="Z51">
        <v>185521</v>
      </c>
      <c r="AA51" t="s">
        <v>476</v>
      </c>
      <c r="AB51" t="s">
        <v>525</v>
      </c>
      <c r="AC51">
        <v>185521</v>
      </c>
      <c r="AD51" t="s">
        <v>477</v>
      </c>
      <c r="AF51">
        <v>50</v>
      </c>
    </row>
    <row r="52" spans="1:32" x14ac:dyDescent="0.25">
      <c r="A52">
        <v>1</v>
      </c>
      <c r="B52" t="s">
        <v>4</v>
      </c>
      <c r="C52" t="s">
        <v>23</v>
      </c>
      <c r="D52" t="s">
        <v>174</v>
      </c>
      <c r="E52">
        <v>184724</v>
      </c>
      <c r="F52" t="s">
        <v>248</v>
      </c>
      <c r="G52" t="s">
        <v>260</v>
      </c>
      <c r="Y52">
        <v>1</v>
      </c>
      <c r="Z52">
        <v>185524</v>
      </c>
      <c r="AA52" t="s">
        <v>480</v>
      </c>
      <c r="AB52" t="s">
        <v>527</v>
      </c>
      <c r="AC52">
        <v>185524</v>
      </c>
      <c r="AD52" t="s">
        <v>481</v>
      </c>
      <c r="AF52">
        <v>51</v>
      </c>
    </row>
    <row r="53" spans="1:32" x14ac:dyDescent="0.25">
      <c r="A53">
        <v>1</v>
      </c>
      <c r="C53" t="s">
        <v>125</v>
      </c>
      <c r="D53" t="s">
        <v>9</v>
      </c>
      <c r="E53">
        <v>184744</v>
      </c>
      <c r="F53" t="s">
        <v>249</v>
      </c>
      <c r="Y53">
        <v>0</v>
      </c>
      <c r="Z53">
        <v>185413</v>
      </c>
      <c r="AA53" t="s">
        <v>484</v>
      </c>
      <c r="AB53" t="s">
        <v>49</v>
      </c>
      <c r="AC53">
        <v>185413</v>
      </c>
      <c r="AD53" t="s">
        <v>368</v>
      </c>
      <c r="AF53">
        <v>52</v>
      </c>
    </row>
    <row r="54" spans="1:32" x14ac:dyDescent="0.25">
      <c r="A54">
        <v>1</v>
      </c>
      <c r="C54" t="s">
        <v>126</v>
      </c>
      <c r="D54" t="s">
        <v>19</v>
      </c>
      <c r="E54">
        <v>184725</v>
      </c>
      <c r="F54" t="s">
        <v>250</v>
      </c>
      <c r="Y54">
        <v>0</v>
      </c>
      <c r="Z54">
        <v>185422</v>
      </c>
      <c r="AA54" t="s">
        <v>487</v>
      </c>
      <c r="AB54" t="s">
        <v>488</v>
      </c>
      <c r="AC54">
        <v>185422</v>
      </c>
      <c r="AD54" t="s">
        <v>376</v>
      </c>
      <c r="AF54">
        <v>53</v>
      </c>
    </row>
    <row r="55" spans="1:32" x14ac:dyDescent="0.25">
      <c r="A55">
        <v>0</v>
      </c>
      <c r="C55" t="s">
        <v>67</v>
      </c>
      <c r="D55" t="s">
        <v>58</v>
      </c>
      <c r="E55">
        <v>184663</v>
      </c>
      <c r="F55" t="s">
        <v>177</v>
      </c>
      <c r="Y55">
        <v>0</v>
      </c>
      <c r="Z55">
        <v>185436</v>
      </c>
      <c r="AA55" t="s">
        <v>396</v>
      </c>
      <c r="AB55" t="s">
        <v>32</v>
      </c>
      <c r="AC55">
        <v>185436</v>
      </c>
      <c r="AD55" t="s">
        <v>397</v>
      </c>
      <c r="AF55">
        <v>54</v>
      </c>
    </row>
    <row r="56" spans="1:32" x14ac:dyDescent="0.25">
      <c r="A56">
        <v>0</v>
      </c>
      <c r="C56" t="s">
        <v>68</v>
      </c>
      <c r="D56" t="s">
        <v>131</v>
      </c>
      <c r="E56">
        <v>184745</v>
      </c>
      <c r="F56" t="s">
        <v>178</v>
      </c>
      <c r="Y56">
        <v>0</v>
      </c>
      <c r="Z56">
        <v>185437</v>
      </c>
      <c r="AA56" t="s">
        <v>398</v>
      </c>
      <c r="AB56" t="s">
        <v>496</v>
      </c>
      <c r="AC56">
        <v>185437</v>
      </c>
      <c r="AD56" t="s">
        <v>399</v>
      </c>
      <c r="AF56">
        <v>55</v>
      </c>
    </row>
    <row r="57" spans="1:32" x14ac:dyDescent="0.25">
      <c r="A57">
        <v>0</v>
      </c>
      <c r="C57" t="s">
        <v>69</v>
      </c>
      <c r="D57" t="s">
        <v>51</v>
      </c>
      <c r="E57">
        <v>184729</v>
      </c>
      <c r="F57" t="s">
        <v>181</v>
      </c>
      <c r="Y57">
        <v>0</v>
      </c>
      <c r="Z57" t="s">
        <v>4</v>
      </c>
      <c r="AA57" t="s">
        <v>15</v>
      </c>
      <c r="AB57" t="s">
        <v>497</v>
      </c>
      <c r="AC57">
        <v>185439</v>
      </c>
      <c r="AD57" t="s">
        <v>400</v>
      </c>
      <c r="AF57">
        <v>56</v>
      </c>
    </row>
    <row r="58" spans="1:32" x14ac:dyDescent="0.25">
      <c r="A58">
        <v>0</v>
      </c>
      <c r="C58" t="s">
        <v>252</v>
      </c>
      <c r="D58" t="s">
        <v>253</v>
      </c>
      <c r="E58">
        <v>184666</v>
      </c>
      <c r="F58" t="s">
        <v>254</v>
      </c>
      <c r="Y58">
        <v>0</v>
      </c>
      <c r="Z58">
        <v>185441</v>
      </c>
      <c r="AA58" t="s">
        <v>403</v>
      </c>
      <c r="AB58" t="s">
        <v>498</v>
      </c>
      <c r="AC58">
        <v>185441</v>
      </c>
      <c r="AD58" t="s">
        <v>404</v>
      </c>
      <c r="AF58">
        <v>57</v>
      </c>
    </row>
    <row r="59" spans="1:32" x14ac:dyDescent="0.25">
      <c r="A59">
        <v>0</v>
      </c>
      <c r="C59" t="s">
        <v>70</v>
      </c>
      <c r="D59" t="s">
        <v>52</v>
      </c>
      <c r="E59">
        <v>184667</v>
      </c>
      <c r="F59" t="s">
        <v>182</v>
      </c>
      <c r="Y59">
        <v>0</v>
      </c>
      <c r="Z59">
        <v>185446</v>
      </c>
      <c r="AA59" t="s">
        <v>18</v>
      </c>
      <c r="AB59" t="s">
        <v>500</v>
      </c>
      <c r="AC59">
        <v>185446</v>
      </c>
      <c r="AD59" t="s">
        <v>408</v>
      </c>
      <c r="AF59">
        <v>58</v>
      </c>
    </row>
    <row r="60" spans="1:32" x14ac:dyDescent="0.25">
      <c r="A60">
        <v>0</v>
      </c>
      <c r="C60" t="s">
        <v>255</v>
      </c>
      <c r="D60" t="s">
        <v>256</v>
      </c>
      <c r="E60">
        <v>184671</v>
      </c>
      <c r="F60" t="s">
        <v>257</v>
      </c>
      <c r="Y60">
        <v>0</v>
      </c>
      <c r="Z60">
        <v>185449</v>
      </c>
      <c r="AA60" t="s">
        <v>21</v>
      </c>
      <c r="AB60" t="s">
        <v>501</v>
      </c>
      <c r="AC60">
        <v>185449</v>
      </c>
      <c r="AD60" t="s">
        <v>411</v>
      </c>
      <c r="AF60">
        <v>59</v>
      </c>
    </row>
    <row r="61" spans="1:32" x14ac:dyDescent="0.25">
      <c r="A61">
        <v>0</v>
      </c>
      <c r="C61" t="s">
        <v>79</v>
      </c>
      <c r="D61" t="s">
        <v>58</v>
      </c>
      <c r="E61">
        <v>184674</v>
      </c>
      <c r="F61" t="s">
        <v>192</v>
      </c>
      <c r="Y61">
        <v>0</v>
      </c>
      <c r="Z61">
        <v>185463</v>
      </c>
      <c r="AA61" t="s">
        <v>419</v>
      </c>
      <c r="AB61" t="s">
        <v>506</v>
      </c>
      <c r="AC61">
        <v>185463</v>
      </c>
      <c r="AD61" t="s">
        <v>420</v>
      </c>
      <c r="AF61">
        <v>60</v>
      </c>
    </row>
    <row r="62" spans="1:32" x14ac:dyDescent="0.25">
      <c r="A62">
        <v>0</v>
      </c>
      <c r="C62" t="s">
        <v>83</v>
      </c>
      <c r="D62" t="s">
        <v>28</v>
      </c>
      <c r="E62">
        <v>184742</v>
      </c>
      <c r="F62" t="s">
        <v>197</v>
      </c>
      <c r="Y62">
        <v>0</v>
      </c>
      <c r="Z62" t="s">
        <v>4</v>
      </c>
      <c r="AA62" t="s">
        <v>423</v>
      </c>
      <c r="AB62" t="s">
        <v>14</v>
      </c>
      <c r="AC62">
        <v>185468</v>
      </c>
      <c r="AD62" t="s">
        <v>427</v>
      </c>
      <c r="AF62">
        <v>61</v>
      </c>
    </row>
    <row r="63" spans="1:32" x14ac:dyDescent="0.25">
      <c r="A63">
        <v>0</v>
      </c>
      <c r="C63" t="s">
        <v>89</v>
      </c>
      <c r="D63" t="s">
        <v>46</v>
      </c>
      <c r="E63">
        <v>184743</v>
      </c>
      <c r="F63" t="s">
        <v>204</v>
      </c>
      <c r="Y63">
        <v>0</v>
      </c>
      <c r="Z63">
        <v>185479</v>
      </c>
      <c r="AA63" t="s">
        <v>438</v>
      </c>
      <c r="AB63" t="s">
        <v>510</v>
      </c>
      <c r="AC63">
        <v>185479</v>
      </c>
      <c r="AD63" t="s">
        <v>439</v>
      </c>
      <c r="AF63">
        <v>62</v>
      </c>
    </row>
    <row r="64" spans="1:32" x14ac:dyDescent="0.25">
      <c r="A64">
        <v>0</v>
      </c>
      <c r="C64" t="s">
        <v>90</v>
      </c>
      <c r="D64" t="s">
        <v>148</v>
      </c>
      <c r="E64">
        <v>181364</v>
      </c>
      <c r="F64" t="s">
        <v>205</v>
      </c>
      <c r="Y64">
        <v>0</v>
      </c>
      <c r="Z64" t="s">
        <v>4</v>
      </c>
      <c r="AA64" t="s">
        <v>448</v>
      </c>
      <c r="AB64" t="s">
        <v>514</v>
      </c>
      <c r="AC64">
        <v>185496</v>
      </c>
      <c r="AD64" t="s">
        <v>449</v>
      </c>
      <c r="AF64">
        <v>63</v>
      </c>
    </row>
    <row r="65" spans="1:32" x14ac:dyDescent="0.25">
      <c r="A65">
        <v>0</v>
      </c>
      <c r="C65" t="s">
        <v>91</v>
      </c>
      <c r="D65" t="s">
        <v>149</v>
      </c>
      <c r="E65">
        <v>184683</v>
      </c>
      <c r="F65" t="s">
        <v>206</v>
      </c>
      <c r="Y65">
        <v>0</v>
      </c>
      <c r="Z65">
        <v>185502</v>
      </c>
      <c r="AA65" t="s">
        <v>456</v>
      </c>
      <c r="AB65" t="s">
        <v>518</v>
      </c>
      <c r="AC65">
        <v>185502</v>
      </c>
      <c r="AD65" t="s">
        <v>457</v>
      </c>
      <c r="AF65">
        <v>64</v>
      </c>
    </row>
    <row r="66" spans="1:32" x14ac:dyDescent="0.25">
      <c r="A66">
        <v>0</v>
      </c>
      <c r="C66" t="s">
        <v>92</v>
      </c>
      <c r="D66" t="s">
        <v>150</v>
      </c>
      <c r="E66">
        <v>184684</v>
      </c>
      <c r="F66" t="s">
        <v>207</v>
      </c>
      <c r="Y66">
        <v>0</v>
      </c>
      <c r="Z66">
        <v>185501</v>
      </c>
      <c r="AA66" t="s">
        <v>462</v>
      </c>
      <c r="AB66" t="s">
        <v>519</v>
      </c>
      <c r="AC66">
        <v>185501</v>
      </c>
      <c r="AD66" t="s">
        <v>463</v>
      </c>
      <c r="AF66">
        <v>65</v>
      </c>
    </row>
    <row r="67" spans="1:32" x14ac:dyDescent="0.25">
      <c r="A67">
        <v>0</v>
      </c>
      <c r="B67" t="s">
        <v>4</v>
      </c>
      <c r="C67" t="s">
        <v>96</v>
      </c>
      <c r="D67" t="s">
        <v>155</v>
      </c>
      <c r="E67">
        <v>184691</v>
      </c>
      <c r="F67" t="s">
        <v>213</v>
      </c>
      <c r="G67" t="s">
        <v>260</v>
      </c>
      <c r="Y67">
        <v>0</v>
      </c>
      <c r="Z67" t="s">
        <v>4</v>
      </c>
      <c r="AA67" t="s">
        <v>464</v>
      </c>
      <c r="AB67" t="s">
        <v>520</v>
      </c>
      <c r="AC67">
        <v>185507</v>
      </c>
      <c r="AD67" t="s">
        <v>465</v>
      </c>
      <c r="AF67">
        <v>66</v>
      </c>
    </row>
    <row r="68" spans="1:32" x14ac:dyDescent="0.25">
      <c r="A68">
        <v>0</v>
      </c>
      <c r="C68" t="s">
        <v>97</v>
      </c>
      <c r="D68" t="s">
        <v>156</v>
      </c>
      <c r="E68">
        <v>184692</v>
      </c>
      <c r="F68" t="s">
        <v>214</v>
      </c>
      <c r="Y68">
        <v>0</v>
      </c>
      <c r="Z68">
        <v>185508</v>
      </c>
      <c r="AA68" t="s">
        <v>466</v>
      </c>
      <c r="AB68" t="s">
        <v>521</v>
      </c>
      <c r="AC68">
        <v>185508</v>
      </c>
      <c r="AD68" t="s">
        <v>467</v>
      </c>
      <c r="AF68">
        <v>67</v>
      </c>
    </row>
    <row r="69" spans="1:32" x14ac:dyDescent="0.25">
      <c r="A69">
        <v>0</v>
      </c>
      <c r="C69" t="s">
        <v>98</v>
      </c>
      <c r="D69" t="s">
        <v>159</v>
      </c>
      <c r="E69">
        <v>184694</v>
      </c>
      <c r="F69" t="s">
        <v>217</v>
      </c>
      <c r="Y69">
        <v>0</v>
      </c>
      <c r="Z69">
        <v>185510</v>
      </c>
      <c r="AA69" t="s">
        <v>470</v>
      </c>
      <c r="AB69" t="s">
        <v>523</v>
      </c>
      <c r="AC69">
        <v>185510</v>
      </c>
      <c r="AD69" t="s">
        <v>471</v>
      </c>
      <c r="AF69">
        <v>68</v>
      </c>
    </row>
    <row r="70" spans="1:32" x14ac:dyDescent="0.25">
      <c r="A70">
        <v>0</v>
      </c>
      <c r="B70" t="s">
        <v>4</v>
      </c>
      <c r="C70" t="s">
        <v>98</v>
      </c>
      <c r="D70" t="s">
        <v>158</v>
      </c>
      <c r="E70">
        <v>184693</v>
      </c>
      <c r="F70" t="s">
        <v>216</v>
      </c>
      <c r="G70" t="s">
        <v>260</v>
      </c>
      <c r="Y70">
        <v>0</v>
      </c>
      <c r="Z70">
        <v>185516</v>
      </c>
      <c r="AA70" t="s">
        <v>474</v>
      </c>
      <c r="AB70" t="s">
        <v>524</v>
      </c>
      <c r="AC70">
        <v>185516</v>
      </c>
      <c r="AD70" t="s">
        <v>475</v>
      </c>
      <c r="AF70">
        <v>69</v>
      </c>
    </row>
    <row r="71" spans="1:32" x14ac:dyDescent="0.25">
      <c r="A71">
        <v>0</v>
      </c>
      <c r="B71" t="s">
        <v>4</v>
      </c>
      <c r="C71" t="s">
        <v>102</v>
      </c>
      <c r="D71" t="s">
        <v>161</v>
      </c>
      <c r="E71">
        <v>184698</v>
      </c>
      <c r="F71" t="s">
        <v>221</v>
      </c>
      <c r="G71" t="s">
        <v>260</v>
      </c>
      <c r="Y71">
        <v>0</v>
      </c>
      <c r="Z71">
        <v>185522</v>
      </c>
      <c r="AA71" t="s">
        <v>478</v>
      </c>
      <c r="AB71" t="s">
        <v>526</v>
      </c>
      <c r="AC71">
        <v>185522</v>
      </c>
      <c r="AD71" t="s">
        <v>479</v>
      </c>
      <c r="AF71">
        <v>70</v>
      </c>
    </row>
    <row r="72" spans="1:32" x14ac:dyDescent="0.25">
      <c r="A72">
        <v>0</v>
      </c>
      <c r="C72" t="s">
        <v>111</v>
      </c>
      <c r="D72" t="s">
        <v>3</v>
      </c>
      <c r="E72">
        <v>184707</v>
      </c>
      <c r="F72" t="s">
        <v>231</v>
      </c>
    </row>
    <row r="73" spans="1:32" x14ac:dyDescent="0.25">
      <c r="A73">
        <v>0</v>
      </c>
      <c r="C73" t="s">
        <v>113</v>
      </c>
      <c r="D73" t="s">
        <v>168</v>
      </c>
      <c r="E73">
        <v>184709</v>
      </c>
      <c r="F73" t="s">
        <v>233</v>
      </c>
    </row>
    <row r="74" spans="1:32" x14ac:dyDescent="0.25">
      <c r="A74">
        <v>0</v>
      </c>
      <c r="B74" t="s">
        <v>4</v>
      </c>
      <c r="C74" t="s">
        <v>115</v>
      </c>
      <c r="D74" t="s">
        <v>55</v>
      </c>
      <c r="E74">
        <v>184711</v>
      </c>
      <c r="F74" t="s">
        <v>235</v>
      </c>
      <c r="G74" t="s">
        <v>260</v>
      </c>
    </row>
    <row r="75" spans="1:32" x14ac:dyDescent="0.25">
      <c r="A75">
        <v>0</v>
      </c>
      <c r="B75" t="s">
        <v>4</v>
      </c>
      <c r="C75" t="s">
        <v>118</v>
      </c>
      <c r="D75" t="s">
        <v>11</v>
      </c>
      <c r="E75">
        <v>184734</v>
      </c>
      <c r="F75" t="s">
        <v>240</v>
      </c>
      <c r="G75" t="s">
        <v>260</v>
      </c>
    </row>
    <row r="76" spans="1:32" x14ac:dyDescent="0.25">
      <c r="A76">
        <v>0</v>
      </c>
      <c r="C76" t="s">
        <v>120</v>
      </c>
      <c r="D76" t="s">
        <v>171</v>
      </c>
      <c r="E76">
        <v>184718</v>
      </c>
      <c r="F76" t="s">
        <v>242</v>
      </c>
    </row>
    <row r="77" spans="1:32" x14ac:dyDescent="0.25">
      <c r="A77">
        <v>0</v>
      </c>
      <c r="C77" t="s">
        <v>258</v>
      </c>
      <c r="D77" t="s">
        <v>43</v>
      </c>
      <c r="E77">
        <v>184721</v>
      </c>
      <c r="F77" t="s">
        <v>259</v>
      </c>
    </row>
    <row r="78" spans="1:32" x14ac:dyDescent="0.25">
      <c r="A78">
        <v>0</v>
      </c>
      <c r="C78" t="s">
        <v>122</v>
      </c>
      <c r="D78" t="s">
        <v>172</v>
      </c>
      <c r="E78">
        <v>184722</v>
      </c>
      <c r="F78" t="s">
        <v>245</v>
      </c>
    </row>
    <row r="79" spans="1:32" x14ac:dyDescent="0.25">
      <c r="A79">
        <v>0</v>
      </c>
      <c r="C79" t="s">
        <v>124</v>
      </c>
      <c r="D79" t="s">
        <v>173</v>
      </c>
      <c r="E79">
        <v>184723</v>
      </c>
      <c r="F79" t="s">
        <v>247</v>
      </c>
    </row>
    <row r="80" spans="1:32" x14ac:dyDescent="0.25">
      <c r="A80">
        <v>0</v>
      </c>
      <c r="B80" t="s">
        <v>4</v>
      </c>
      <c r="C80" t="s">
        <v>127</v>
      </c>
      <c r="D80" t="s">
        <v>175</v>
      </c>
      <c r="E80">
        <v>184740</v>
      </c>
      <c r="F80" t="s">
        <v>251</v>
      </c>
      <c r="G80" t="s">
        <v>260</v>
      </c>
    </row>
  </sheetData>
  <mergeCells count="6">
    <mergeCell ref="AP1:AV1"/>
    <mergeCell ref="A1:G1"/>
    <mergeCell ref="J1:P1"/>
    <mergeCell ref="R1:X1"/>
    <mergeCell ref="Z1:AE1"/>
    <mergeCell ref="AH1:AM1"/>
  </mergeCells>
  <phoneticPr fontId="6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2AE2-29E7-4EEE-BE7A-3231387C15A1}">
  <sheetPr codeName="Sheet11">
    <tabColor theme="0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0</v>
      </c>
    </row>
    <row r="2" spans="3:13" ht="3.75" customHeight="1" x14ac:dyDescent="0.2"/>
    <row r="3" spans="3:13" ht="30" customHeight="1" x14ac:dyDescent="0.4">
      <c r="C3" s="70" t="s">
        <v>129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/>
      <c r="D6" s="25"/>
      <c r="E6" s="14"/>
      <c r="F6" s="14"/>
      <c r="G6" s="17"/>
      <c r="H6" s="23"/>
      <c r="I6" s="14"/>
      <c r="J6" s="22"/>
      <c r="K6" s="14"/>
      <c r="L6" s="14"/>
      <c r="M6" s="5"/>
    </row>
    <row r="7" spans="3:13" ht="18.75" customHeight="1" x14ac:dyDescent="0.2">
      <c r="C7" s="24"/>
      <c r="D7" s="25"/>
      <c r="E7" s="14"/>
      <c r="F7" s="14"/>
      <c r="G7" s="17"/>
      <c r="H7" s="23"/>
      <c r="I7" s="14"/>
      <c r="J7" s="22"/>
      <c r="K7" s="14"/>
      <c r="L7" s="14"/>
      <c r="M7" s="5"/>
    </row>
    <row r="8" spans="3:13" ht="18.75" customHeight="1" x14ac:dyDescent="0.2">
      <c r="C8" s="24"/>
      <c r="D8" s="25"/>
      <c r="E8" s="14"/>
      <c r="F8" s="14"/>
      <c r="G8" s="17"/>
      <c r="H8" s="23"/>
      <c r="I8" s="14"/>
      <c r="J8" s="22"/>
      <c r="K8" s="14"/>
      <c r="L8" s="14"/>
      <c r="M8" s="5"/>
    </row>
    <row r="9" spans="3:13" ht="18.75" customHeight="1" x14ac:dyDescent="0.2">
      <c r="C9" s="24"/>
      <c r="D9" s="25"/>
      <c r="E9" s="14"/>
      <c r="F9" s="14"/>
      <c r="G9" s="17"/>
      <c r="H9" s="21"/>
      <c r="I9" s="14"/>
      <c r="J9" s="22"/>
      <c r="K9" s="14"/>
      <c r="L9" s="14"/>
      <c r="M9" s="5"/>
    </row>
    <row r="10" spans="3:13" ht="18.75" customHeight="1" x14ac:dyDescent="0.2">
      <c r="C10" s="24"/>
      <c r="D10" s="25"/>
      <c r="E10" s="14"/>
      <c r="F10" s="14"/>
      <c r="G10" s="17"/>
      <c r="H10" s="23"/>
      <c r="I10" s="14"/>
      <c r="J10" s="22"/>
      <c r="K10" s="14"/>
      <c r="L10" s="14"/>
      <c r="M10" s="5"/>
    </row>
    <row r="11" spans="3:13" ht="18.75" customHeight="1" x14ac:dyDescent="0.2">
      <c r="C11" s="24"/>
      <c r="D11" s="25"/>
      <c r="E11" s="14"/>
      <c r="F11" s="14"/>
      <c r="G11" s="17"/>
      <c r="H11" s="23"/>
      <c r="I11" s="14"/>
      <c r="J11" s="22"/>
      <c r="K11" s="14"/>
      <c r="L11" s="14"/>
      <c r="M11" s="5"/>
    </row>
    <row r="12" spans="3:13" ht="18.75" customHeight="1" x14ac:dyDescent="0.2">
      <c r="C12" s="24"/>
      <c r="D12" s="25"/>
      <c r="E12" s="14"/>
      <c r="F12" s="14"/>
      <c r="G12" s="17"/>
      <c r="H12" s="21"/>
      <c r="I12" s="14"/>
      <c r="J12" s="22"/>
      <c r="K12" s="14"/>
      <c r="L12" s="14"/>
      <c r="M12" s="5"/>
    </row>
    <row r="13" spans="3:13" ht="18.75" customHeight="1" x14ac:dyDescent="0.2">
      <c r="C13" s="24"/>
      <c r="D13" s="25"/>
      <c r="E13" s="14"/>
      <c r="F13" s="14"/>
      <c r="G13" s="17"/>
      <c r="H13" s="23"/>
      <c r="I13" s="14"/>
      <c r="J13" s="22"/>
      <c r="K13" s="14"/>
      <c r="L13" s="14"/>
      <c r="M13" s="5"/>
    </row>
    <row r="14" spans="3:13" ht="18.75" customHeight="1" x14ac:dyDescent="0.2">
      <c r="C14" s="24"/>
      <c r="D14" s="25"/>
      <c r="E14" s="14"/>
      <c r="F14" s="14"/>
      <c r="G14" s="17"/>
      <c r="H14" s="23"/>
      <c r="I14" s="14"/>
      <c r="J14" s="22"/>
      <c r="K14" s="14"/>
      <c r="L14" s="14"/>
      <c r="M14" s="5"/>
    </row>
    <row r="15" spans="3:13" ht="18.75" customHeight="1" x14ac:dyDescent="0.2">
      <c r="C15" s="24"/>
      <c r="D15" s="25"/>
      <c r="E15" s="14"/>
      <c r="F15" s="14"/>
      <c r="G15" s="17"/>
      <c r="H15" s="23"/>
      <c r="I15" s="14"/>
      <c r="J15" s="22"/>
      <c r="K15" s="14"/>
      <c r="L15" s="14"/>
      <c r="M15" s="5"/>
    </row>
    <row r="16" spans="3:13" ht="18.75" customHeight="1" x14ac:dyDescent="0.2">
      <c r="C16" s="24"/>
      <c r="D16" s="25"/>
      <c r="E16" s="14"/>
      <c r="F16" s="14"/>
      <c r="G16" s="17"/>
      <c r="H16" s="21"/>
      <c r="I16" s="14"/>
      <c r="J16" s="22"/>
      <c r="K16" s="14"/>
      <c r="L16" s="14"/>
      <c r="M16" s="5"/>
    </row>
    <row r="17" spans="3:13" ht="18.75" customHeight="1" x14ac:dyDescent="0.2">
      <c r="C17" s="24"/>
      <c r="D17" s="25"/>
      <c r="E17" s="14"/>
      <c r="F17" s="14"/>
      <c r="G17" s="17"/>
      <c r="H17" s="23"/>
      <c r="I17" s="14"/>
      <c r="J17" s="22"/>
      <c r="K17" s="14"/>
      <c r="L17" s="14"/>
      <c r="M17" s="5"/>
    </row>
    <row r="18" spans="3:13" ht="18.75" customHeight="1" x14ac:dyDescent="0.2">
      <c r="C18" s="24"/>
      <c r="D18" s="25"/>
      <c r="E18" s="14"/>
      <c r="F18" s="14"/>
      <c r="G18" s="17"/>
      <c r="H18" s="23"/>
      <c r="I18" s="14"/>
      <c r="J18" s="22"/>
      <c r="K18" s="14"/>
      <c r="L18" s="14"/>
      <c r="M18" s="5"/>
    </row>
    <row r="19" spans="3:13" ht="18.75" customHeight="1" x14ac:dyDescent="0.2">
      <c r="C19" s="24"/>
      <c r="D19" s="25"/>
      <c r="E19" s="14"/>
      <c r="F19" s="14"/>
      <c r="G19" s="17"/>
      <c r="H19" s="23"/>
      <c r="I19" s="14"/>
      <c r="J19" s="22"/>
      <c r="K19" s="14"/>
      <c r="L19" s="14"/>
      <c r="M19" s="5"/>
    </row>
    <row r="20" spans="3:13" ht="18.75" customHeight="1" x14ac:dyDescent="0.2">
      <c r="C20" s="24"/>
      <c r="D20" s="25"/>
      <c r="E20" s="14"/>
      <c r="F20" s="14"/>
      <c r="G20" s="17"/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/>
      <c r="D30" s="25"/>
      <c r="E30" s="14"/>
      <c r="F30" s="14"/>
      <c r="G30" s="17"/>
      <c r="H30" s="23"/>
      <c r="I30" s="14"/>
      <c r="J30" s="22"/>
      <c r="K30" s="14"/>
      <c r="L30" s="14"/>
      <c r="M30" s="5"/>
    </row>
    <row r="31" spans="3:13" ht="18.75" customHeight="1" x14ac:dyDescent="0.2">
      <c r="C31" s="24"/>
      <c r="D31" s="25"/>
      <c r="E31" s="14"/>
      <c r="F31" s="14"/>
      <c r="G31" s="17"/>
      <c r="H31" s="23"/>
      <c r="I31" s="14"/>
      <c r="J31" s="22"/>
      <c r="K31" s="14"/>
      <c r="L31" s="14"/>
      <c r="M31" s="5"/>
    </row>
    <row r="32" spans="3:13" ht="18.75" customHeight="1" x14ac:dyDescent="0.2">
      <c r="C32" s="24"/>
      <c r="D32" s="25"/>
      <c r="E32" s="14"/>
      <c r="F32" s="14"/>
      <c r="G32" s="17"/>
      <c r="H32" s="23"/>
      <c r="I32" s="14"/>
      <c r="J32" s="22"/>
      <c r="K32" s="14"/>
      <c r="L32" s="14"/>
      <c r="M32" s="5"/>
    </row>
    <row r="33" spans="3:13" ht="18.75" customHeight="1" x14ac:dyDescent="0.2">
      <c r="C33" s="24"/>
      <c r="D33" s="25"/>
      <c r="E33" s="14"/>
      <c r="F33" s="14"/>
      <c r="G33" s="17"/>
      <c r="H33" s="23"/>
      <c r="I33" s="14"/>
      <c r="J33" s="22"/>
      <c r="K33" s="14"/>
      <c r="L33" s="14"/>
      <c r="M33" s="5"/>
    </row>
    <row r="34" spans="3:13" ht="18.75" customHeight="1" x14ac:dyDescent="0.2">
      <c r="C34" s="24"/>
      <c r="D34" s="25"/>
      <c r="E34" s="14"/>
      <c r="F34" s="14"/>
      <c r="G34" s="17"/>
      <c r="H34" s="23"/>
      <c r="I34" s="14"/>
      <c r="J34" s="22"/>
      <c r="K34" s="14"/>
      <c r="L34" s="14"/>
      <c r="M34" s="5"/>
    </row>
    <row r="35" spans="3:13" ht="18.75" customHeight="1" x14ac:dyDescent="0.2">
      <c r="C35" s="24"/>
      <c r="D35" s="25"/>
      <c r="E35" s="14"/>
      <c r="F35" s="14"/>
      <c r="G35" s="17"/>
      <c r="H35" s="23"/>
      <c r="I35" s="14"/>
      <c r="J35" s="22"/>
      <c r="K35" s="14"/>
      <c r="L35" s="14"/>
      <c r="M35" s="5"/>
    </row>
    <row r="36" spans="3:13" ht="18.75" customHeight="1" x14ac:dyDescent="0.2">
      <c r="C36" s="24"/>
      <c r="D36" s="25"/>
      <c r="E36" s="14"/>
      <c r="F36" s="14"/>
      <c r="G36" s="17"/>
      <c r="H36" s="23"/>
      <c r="I36" s="14"/>
      <c r="J36" s="22"/>
      <c r="K36" s="14"/>
      <c r="L36" s="14"/>
      <c r="M36" s="5"/>
    </row>
    <row r="37" spans="3:13" ht="18.75" customHeight="1" x14ac:dyDescent="0.2">
      <c r="C37" s="24"/>
      <c r="D37" s="25"/>
      <c r="E37" s="14"/>
      <c r="F37" s="14"/>
      <c r="G37" s="17"/>
      <c r="H37" s="23"/>
      <c r="I37" s="14"/>
      <c r="J37" s="22"/>
      <c r="K37" s="14"/>
      <c r="L37" s="14"/>
      <c r="M37" s="5"/>
    </row>
    <row r="38" spans="3:13" ht="18.75" customHeight="1" x14ac:dyDescent="0.2">
      <c r="C38" s="24"/>
      <c r="D38" s="25"/>
      <c r="E38" s="14"/>
      <c r="F38" s="14"/>
      <c r="G38" s="17"/>
      <c r="H38" s="23"/>
      <c r="I38" s="14"/>
      <c r="J38" s="22"/>
      <c r="K38" s="14"/>
      <c r="L38" s="14"/>
      <c r="M38" s="5"/>
    </row>
    <row r="39" spans="3:13" ht="18.75" customHeight="1" x14ac:dyDescent="0.2">
      <c r="C39" s="24"/>
      <c r="D39" s="25"/>
      <c r="E39" s="14"/>
      <c r="F39" s="14"/>
      <c r="G39" s="17"/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COUNT(C6:C47,I6:I47)</f>
        <v>0</v>
      </c>
    </row>
    <row r="49" spans="13:13" ht="31.5" customHeight="1" x14ac:dyDescent="0.2">
      <c r="M49" s="3"/>
    </row>
  </sheetData>
  <sheetProtection selectLockedCells="1" selectUnlockedCells="1"/>
  <mergeCells count="1">
    <mergeCell ref="C3:M3"/>
  </mergeCells>
  <conditionalFormatting sqref="E6:G44">
    <cfRule type="expression" dxfId="2" priority="1">
      <formula>$C6=0</formula>
    </cfRule>
  </conditionalFormatting>
  <pageMargins left="0.5" right="0" top="0.35" bottom="0" header="0.3" footer="0.3"/>
  <pageSetup scale="91" firstPageNumber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30D10C-F6C6-4A7F-8177-CCB15A4F481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7a85a10-258b-45b4-a519-c96c7721094c}" enabled="0" method="" siteId="{57a85a10-258b-45b4-a519-c96c7721094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2026 D</vt:lpstr>
      <vt:lpstr>2026 G</vt:lpstr>
      <vt:lpstr>2026 I</vt:lpstr>
      <vt:lpstr>2026 H</vt:lpstr>
      <vt:lpstr>2026 J</vt:lpstr>
      <vt:lpstr>Status</vt:lpstr>
      <vt:lpstr>Resigned</vt:lpstr>
      <vt:lpstr>DATA</vt:lpstr>
      <vt:lpstr>Blank</vt:lpstr>
      <vt:lpstr>'2026 D'!Print_Area</vt:lpstr>
      <vt:lpstr>'2026 G'!Print_Area</vt:lpstr>
      <vt:lpstr>'2026 H'!Print_Area</vt:lpstr>
      <vt:lpstr>'2026 I'!Print_Area</vt:lpstr>
      <vt:lpstr>'2026 J'!Print_Area</vt:lpstr>
      <vt:lpstr>Blank!Print_Area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LE, THO H. - HFD</dc:creator>
  <cp:keywords/>
  <dc:description/>
  <cp:lastModifiedBy>LE, THO H. - HFD</cp:lastModifiedBy>
  <cp:revision/>
  <cp:lastPrinted>2026-09-14T14:43:36Z</cp:lastPrinted>
  <dcterms:created xsi:type="dcterms:W3CDTF">2015-06-05T18:17:20Z</dcterms:created>
  <dcterms:modified xsi:type="dcterms:W3CDTF">2026-10-08T12:29:26Z</dcterms:modified>
  <cp:category/>
  <cp:contentStatus/>
</cp:coreProperties>
</file>